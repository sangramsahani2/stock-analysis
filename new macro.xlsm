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\Desktop\sangram\backup\"/>
    </mc:Choice>
  </mc:AlternateContent>
  <xr:revisionPtr revIDLastSave="0" documentId="8_{B47EFC3E-FC89-49CC-BD42-A7990621C921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Analysis" sheetId="1" r:id="rId1"/>
  </sheets>
  <externalReferences>
    <externalReference r:id="rId2"/>
    <externalReference r:id="rId3"/>
  </externalReferences>
  <definedNames>
    <definedName name="_xlnm._FilterDatabase" localSheetId="0" hidden="1">Analysis!$A$2:$AI$213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3" i="1"/>
  <c r="AG66" i="1" l="1"/>
  <c r="AI66" i="1" s="1"/>
  <c r="AG67" i="1"/>
  <c r="AI67" i="1" s="1"/>
  <c r="AG71" i="1"/>
  <c r="AI71" i="1" s="1"/>
  <c r="AG75" i="1"/>
  <c r="AI75" i="1" s="1"/>
  <c r="AG82" i="1"/>
  <c r="AI82" i="1" s="1"/>
  <c r="AG83" i="1"/>
  <c r="AI83" i="1" s="1"/>
  <c r="AG84" i="1"/>
  <c r="AI84" i="1" s="1"/>
  <c r="AG87" i="1"/>
  <c r="AI87" i="1" s="1"/>
  <c r="AG91" i="1"/>
  <c r="AI91" i="1" s="1"/>
  <c r="AG98" i="1"/>
  <c r="AI98" i="1" s="1"/>
  <c r="AG99" i="1"/>
  <c r="AI99" i="1" s="1"/>
  <c r="AG100" i="1"/>
  <c r="AI100" i="1" s="1"/>
  <c r="AG103" i="1"/>
  <c r="AI103" i="1" s="1"/>
  <c r="AG107" i="1"/>
  <c r="AI107" i="1" s="1"/>
  <c r="AG112" i="1"/>
  <c r="AI112" i="1" s="1"/>
  <c r="AG114" i="1"/>
  <c r="AI114" i="1" s="1"/>
  <c r="AG115" i="1"/>
  <c r="AI115" i="1" s="1"/>
  <c r="AG119" i="1"/>
  <c r="AI119" i="1" s="1"/>
  <c r="AG123" i="1"/>
  <c r="AI123" i="1" s="1"/>
  <c r="AG127" i="1"/>
  <c r="AI127" i="1" s="1"/>
  <c r="AG131" i="1"/>
  <c r="AI131" i="1" s="1"/>
  <c r="AG135" i="1"/>
  <c r="AI135" i="1" s="1"/>
  <c r="AG140" i="1"/>
  <c r="AI140" i="1" s="1"/>
  <c r="AG143" i="1"/>
  <c r="AI143" i="1" s="1"/>
  <c r="AG147" i="1"/>
  <c r="AI147" i="1" s="1"/>
  <c r="AG148" i="1"/>
  <c r="AI148" i="1" s="1"/>
  <c r="AG155" i="1"/>
  <c r="AI155" i="1" s="1"/>
  <c r="AG159" i="1"/>
  <c r="AI159" i="1" s="1"/>
  <c r="AG163" i="1"/>
  <c r="AI163" i="1" s="1"/>
  <c r="AG167" i="1"/>
  <c r="AI167" i="1" s="1"/>
  <c r="AG171" i="1"/>
  <c r="AI171" i="1" s="1"/>
  <c r="AG176" i="1"/>
  <c r="AI176" i="1" s="1"/>
  <c r="AG178" i="1"/>
  <c r="AI178" i="1" s="1"/>
  <c r="AG183" i="1"/>
  <c r="AI183" i="1" s="1"/>
  <c r="AG187" i="1"/>
  <c r="AI187" i="1" s="1"/>
  <c r="AG190" i="1"/>
  <c r="AI190" i="1" s="1"/>
  <c r="AG191" i="1"/>
  <c r="AI191" i="1" s="1"/>
  <c r="AG194" i="1"/>
  <c r="AI194" i="1" s="1"/>
  <c r="AG195" i="1"/>
  <c r="AI195" i="1" s="1"/>
  <c r="AG196" i="1"/>
  <c r="AI196" i="1" s="1"/>
  <c r="AG199" i="1"/>
  <c r="AI199" i="1" s="1"/>
  <c r="AG203" i="1"/>
  <c r="AI203" i="1" s="1"/>
  <c r="AG206" i="1"/>
  <c r="AI206" i="1" s="1"/>
  <c r="AG210" i="1"/>
  <c r="AI210" i="1" s="1"/>
  <c r="AG211" i="1"/>
  <c r="AI211" i="1" s="1"/>
  <c r="AG212" i="1"/>
  <c r="AI212" i="1" s="1"/>
  <c r="X65" i="1"/>
  <c r="Z65" i="1" s="1"/>
  <c r="X67" i="1"/>
  <c r="Z67" i="1" s="1"/>
  <c r="X71" i="1"/>
  <c r="Z71" i="1" s="1"/>
  <c r="X77" i="1"/>
  <c r="Z77" i="1" s="1"/>
  <c r="X78" i="1"/>
  <c r="Z78" i="1" s="1"/>
  <c r="X79" i="1"/>
  <c r="Z79" i="1" s="1"/>
  <c r="X82" i="1"/>
  <c r="Z82" i="1" s="1"/>
  <c r="X83" i="1"/>
  <c r="Z83" i="1" s="1"/>
  <c r="X87" i="1"/>
  <c r="Z87" i="1" s="1"/>
  <c r="X93" i="1"/>
  <c r="Z93" i="1" s="1"/>
  <c r="X94" i="1"/>
  <c r="Z94" i="1" s="1"/>
  <c r="X95" i="1"/>
  <c r="Z95" i="1" s="1"/>
  <c r="X98" i="1"/>
  <c r="Z98" i="1" s="1"/>
  <c r="X99" i="1"/>
  <c r="Z99" i="1" s="1"/>
  <c r="X103" i="1"/>
  <c r="Z103" i="1" s="1"/>
  <c r="X109" i="1"/>
  <c r="Z109" i="1" s="1"/>
  <c r="X110" i="1"/>
  <c r="Z110" i="1" s="1"/>
  <c r="X111" i="1"/>
  <c r="Z111" i="1" s="1"/>
  <c r="X114" i="1"/>
  <c r="Z114" i="1" s="1"/>
  <c r="X115" i="1"/>
  <c r="Z115" i="1" s="1"/>
  <c r="X119" i="1"/>
  <c r="Z119" i="1" s="1"/>
  <c r="X123" i="1"/>
  <c r="Z123" i="1" s="1"/>
  <c r="X125" i="1"/>
  <c r="Z125" i="1" s="1"/>
  <c r="X126" i="1"/>
  <c r="Z126" i="1" s="1"/>
  <c r="X131" i="1"/>
  <c r="Z131" i="1" s="1"/>
  <c r="X135" i="1"/>
  <c r="Z135" i="1" s="1"/>
  <c r="X137" i="1"/>
  <c r="Z137" i="1" s="1"/>
  <c r="X138" i="1"/>
  <c r="Z138" i="1" s="1"/>
  <c r="X139" i="1"/>
  <c r="Z139" i="1" s="1"/>
  <c r="X145" i="1"/>
  <c r="Z145" i="1" s="1"/>
  <c r="X146" i="1"/>
  <c r="Z146" i="1" s="1"/>
  <c r="X151" i="1"/>
  <c r="Z151" i="1" s="1"/>
  <c r="X155" i="1"/>
  <c r="Z155" i="1" s="1"/>
  <c r="X158" i="1"/>
  <c r="Z158" i="1" s="1"/>
  <c r="X159" i="1"/>
  <c r="Z159" i="1" s="1"/>
  <c r="X163" i="1"/>
  <c r="Z163" i="1" s="1"/>
  <c r="X166" i="1"/>
  <c r="Z166" i="1" s="1"/>
  <c r="X167" i="1"/>
  <c r="Z167" i="1" s="1"/>
  <c r="X171" i="1"/>
  <c r="Z171" i="1" s="1"/>
  <c r="X173" i="1"/>
  <c r="Z173" i="1" s="1"/>
  <c r="X174" i="1"/>
  <c r="Z174" i="1" s="1"/>
  <c r="X183" i="1"/>
  <c r="Z183" i="1" s="1"/>
  <c r="X187" i="1"/>
  <c r="Z187" i="1" s="1"/>
  <c r="X189" i="1"/>
  <c r="Z189" i="1" s="1"/>
  <c r="X190" i="1"/>
  <c r="Z190" i="1" s="1"/>
  <c r="X191" i="1"/>
  <c r="Z191" i="1" s="1"/>
  <c r="X194" i="1"/>
  <c r="Z194" i="1" s="1"/>
  <c r="X197" i="1"/>
  <c r="Z197" i="1" s="1"/>
  <c r="X202" i="1"/>
  <c r="Z202" i="1" s="1"/>
  <c r="X203" i="1"/>
  <c r="Z203" i="1" s="1"/>
  <c r="X206" i="1"/>
  <c r="Z206" i="1" s="1"/>
  <c r="X207" i="1"/>
  <c r="Z207" i="1" s="1"/>
  <c r="J7" i="1"/>
  <c r="L7" i="1" s="1"/>
  <c r="J11" i="1"/>
  <c r="L11" i="1" s="1"/>
  <c r="J15" i="1"/>
  <c r="L15" i="1" s="1"/>
  <c r="J19" i="1"/>
  <c r="L19" i="1" s="1"/>
  <c r="J23" i="1"/>
  <c r="L23" i="1" s="1"/>
  <c r="J27" i="1"/>
  <c r="L27" i="1" s="1"/>
  <c r="J31" i="1"/>
  <c r="L31" i="1" s="1"/>
  <c r="J35" i="1"/>
  <c r="L35" i="1" s="1"/>
  <c r="J39" i="1"/>
  <c r="L39" i="1" s="1"/>
  <c r="J51" i="1"/>
  <c r="L51" i="1" s="1"/>
  <c r="J55" i="1"/>
  <c r="L55" i="1" s="1"/>
  <c r="J67" i="1"/>
  <c r="L67" i="1" s="1"/>
  <c r="J71" i="1"/>
  <c r="L71" i="1" s="1"/>
  <c r="J74" i="1"/>
  <c r="L74" i="1" s="1"/>
  <c r="J82" i="1"/>
  <c r="L82" i="1" s="1"/>
  <c r="J83" i="1"/>
  <c r="L83" i="1" s="1"/>
  <c r="J87" i="1"/>
  <c r="L87" i="1" s="1"/>
  <c r="J98" i="1"/>
  <c r="L98" i="1" s="1"/>
  <c r="J99" i="1"/>
  <c r="L99" i="1" s="1"/>
  <c r="J103" i="1"/>
  <c r="L103" i="1" s="1"/>
  <c r="J114" i="1"/>
  <c r="L114" i="1" s="1"/>
  <c r="J115" i="1"/>
  <c r="L115" i="1" s="1"/>
  <c r="J119" i="1"/>
  <c r="L119" i="1" s="1"/>
  <c r="J123" i="1"/>
  <c r="L123" i="1" s="1"/>
  <c r="J124" i="1"/>
  <c r="L124" i="1" s="1"/>
  <c r="J128" i="1"/>
  <c r="L128" i="1" s="1"/>
  <c r="J130" i="1"/>
  <c r="L130" i="1" s="1"/>
  <c r="J132" i="1"/>
  <c r="L132" i="1" s="1"/>
  <c r="J135" i="1"/>
  <c r="L135" i="1" s="1"/>
  <c r="J136" i="1"/>
  <c r="L136" i="1" s="1"/>
  <c r="J139" i="1"/>
  <c r="L139" i="1" s="1"/>
  <c r="J140" i="1"/>
  <c r="L140" i="1" s="1"/>
  <c r="J142" i="1"/>
  <c r="L142" i="1" s="1"/>
  <c r="J144" i="1"/>
  <c r="L144" i="1" s="1"/>
  <c r="J148" i="1"/>
  <c r="L148" i="1" s="1"/>
  <c r="J151" i="1"/>
  <c r="L151" i="1" s="1"/>
  <c r="J152" i="1"/>
  <c r="L152" i="1" s="1"/>
  <c r="J154" i="1"/>
  <c r="L154" i="1" s="1"/>
  <c r="J155" i="1"/>
  <c r="L155" i="1" s="1"/>
  <c r="J156" i="1"/>
  <c r="L156" i="1" s="1"/>
  <c r="J160" i="1"/>
  <c r="L160" i="1" s="1"/>
  <c r="J167" i="1"/>
  <c r="L167" i="1" s="1"/>
  <c r="J171" i="1"/>
  <c r="L171" i="1" s="1"/>
  <c r="J172" i="1"/>
  <c r="L172" i="1" s="1"/>
  <c r="J175" i="1"/>
  <c r="L175" i="1" s="1"/>
  <c r="J180" i="1"/>
  <c r="L180" i="1" s="1"/>
  <c r="J184" i="1"/>
  <c r="L184" i="1" s="1"/>
  <c r="J186" i="1"/>
  <c r="L186" i="1" s="1"/>
  <c r="J187" i="1"/>
  <c r="L187" i="1" s="1"/>
  <c r="J188" i="1"/>
  <c r="L188" i="1" s="1"/>
  <c r="J190" i="1"/>
  <c r="L190" i="1" s="1"/>
  <c r="J191" i="1"/>
  <c r="L191" i="1" s="1"/>
  <c r="J192" i="1"/>
  <c r="L192" i="1" s="1"/>
  <c r="J199" i="1"/>
  <c r="L199" i="1" s="1"/>
  <c r="J202" i="1"/>
  <c r="L202" i="1" s="1"/>
  <c r="J203" i="1"/>
  <c r="L203" i="1" s="1"/>
  <c r="J204" i="1"/>
  <c r="L204" i="1" s="1"/>
  <c r="J211" i="1"/>
  <c r="L211" i="1" s="1"/>
  <c r="J212" i="1"/>
  <c r="L212" i="1" s="1"/>
  <c r="J3" i="1"/>
  <c r="L3" i="1" s="1"/>
  <c r="Q66" i="1"/>
  <c r="S66" i="1" s="1"/>
  <c r="Q67" i="1"/>
  <c r="S67" i="1" s="1"/>
  <c r="Q70" i="1"/>
  <c r="S70" i="1" s="1"/>
  <c r="Q71" i="1"/>
  <c r="S71" i="1" s="1"/>
  <c r="Q74" i="1"/>
  <c r="S74" i="1" s="1"/>
  <c r="Q77" i="1"/>
  <c r="S77" i="1" s="1"/>
  <c r="Q79" i="1"/>
  <c r="S79" i="1" s="1"/>
  <c r="Q83" i="1"/>
  <c r="S83" i="1" s="1"/>
  <c r="Q86" i="1"/>
  <c r="S86" i="1" s="1"/>
  <c r="Q87" i="1"/>
  <c r="S87" i="1" s="1"/>
  <c r="Q90" i="1"/>
  <c r="S90" i="1" s="1"/>
  <c r="Q93" i="1"/>
  <c r="S93" i="1" s="1"/>
  <c r="Q95" i="1"/>
  <c r="S95" i="1" s="1"/>
  <c r="Q99" i="1"/>
  <c r="S99" i="1" s="1"/>
  <c r="Q102" i="1"/>
  <c r="S102" i="1" s="1"/>
  <c r="Q103" i="1"/>
  <c r="S103" i="1" s="1"/>
  <c r="Q106" i="1"/>
  <c r="S106" i="1" s="1"/>
  <c r="Q109" i="1"/>
  <c r="S109" i="1" s="1"/>
  <c r="Q111" i="1"/>
  <c r="S111" i="1" s="1"/>
  <c r="Q115" i="1"/>
  <c r="S115" i="1" s="1"/>
  <c r="Q119" i="1"/>
  <c r="S119" i="1" s="1"/>
  <c r="Q123" i="1"/>
  <c r="S123" i="1" s="1"/>
  <c r="Q125" i="1"/>
  <c r="S125" i="1" s="1"/>
  <c r="Q127" i="1"/>
  <c r="S127" i="1" s="1"/>
  <c r="Q130" i="1"/>
  <c r="S130" i="1" s="1"/>
  <c r="Q131" i="1"/>
  <c r="S131" i="1" s="1"/>
  <c r="Q134" i="1"/>
  <c r="S134" i="1" s="1"/>
  <c r="Q135" i="1"/>
  <c r="S135" i="1" s="1"/>
  <c r="Q138" i="1"/>
  <c r="S138" i="1" s="1"/>
  <c r="Q143" i="1"/>
  <c r="S143" i="1" s="1"/>
  <c r="Q145" i="1"/>
  <c r="S145" i="1" s="1"/>
  <c r="Q147" i="1"/>
  <c r="S147" i="1" s="1"/>
  <c r="Q151" i="1"/>
  <c r="S151" i="1" s="1"/>
  <c r="Q154" i="1"/>
  <c r="S154" i="1" s="1"/>
  <c r="Q157" i="1"/>
  <c r="S157" i="1" s="1"/>
  <c r="Q158" i="1"/>
  <c r="S158" i="1" s="1"/>
  <c r="Q159" i="1"/>
  <c r="S159" i="1" s="1"/>
  <c r="Q161" i="1"/>
  <c r="S161" i="1" s="1"/>
  <c r="Q162" i="1"/>
  <c r="S162" i="1" s="1"/>
  <c r="Q163" i="1"/>
  <c r="S163" i="1" s="1"/>
  <c r="Q167" i="1"/>
  <c r="S167" i="1" s="1"/>
  <c r="Q174" i="1"/>
  <c r="S174" i="1" s="1"/>
  <c r="Q175" i="1"/>
  <c r="S175" i="1" s="1"/>
  <c r="Q179" i="1"/>
  <c r="S179" i="1" s="1"/>
  <c r="Q181" i="1"/>
  <c r="S181" i="1" s="1"/>
  <c r="Q185" i="1"/>
  <c r="S185" i="1" s="1"/>
  <c r="Q187" i="1"/>
  <c r="S187" i="1" s="1"/>
  <c r="Q191" i="1"/>
  <c r="S191" i="1" s="1"/>
  <c r="Q194" i="1"/>
  <c r="S194" i="1" s="1"/>
  <c r="Q195" i="1"/>
  <c r="S195" i="1" s="1"/>
  <c r="Q198" i="1"/>
  <c r="S198" i="1" s="1"/>
  <c r="Q199" i="1"/>
  <c r="S199" i="1" s="1"/>
  <c r="Q203" i="1"/>
  <c r="S203" i="1" s="1"/>
  <c r="Q209" i="1"/>
  <c r="S209" i="1" s="1"/>
  <c r="Q210" i="1"/>
  <c r="S210" i="1" s="1"/>
  <c r="Q211" i="1"/>
  <c r="S211" i="1" s="1"/>
  <c r="Q3" i="1"/>
  <c r="S3" i="1" s="1"/>
  <c r="J4" i="1"/>
  <c r="L4" i="1" s="1"/>
  <c r="I3" i="1"/>
  <c r="K3" i="1" s="1"/>
  <c r="AG164" i="1"/>
  <c r="AI164" i="1" s="1"/>
  <c r="AG168" i="1"/>
  <c r="AI168" i="1" s="1"/>
  <c r="AG172" i="1"/>
  <c r="AI172" i="1" s="1"/>
  <c r="AG180" i="1"/>
  <c r="AI180" i="1" s="1"/>
  <c r="AG188" i="1"/>
  <c r="AI188" i="1" s="1"/>
  <c r="AG192" i="1"/>
  <c r="AI192" i="1" s="1"/>
  <c r="AG204" i="1"/>
  <c r="AI204" i="1" s="1"/>
  <c r="AG208" i="1"/>
  <c r="AI208" i="1" s="1"/>
  <c r="X199" i="1"/>
  <c r="Z199" i="1" s="1"/>
  <c r="X210" i="1"/>
  <c r="Z210" i="1" s="1"/>
  <c r="X211" i="1"/>
  <c r="Z211" i="1" s="1"/>
  <c r="X212" i="1"/>
  <c r="Z212" i="1" s="1"/>
  <c r="X3" i="1"/>
  <c r="Z3" i="1" s="1"/>
  <c r="Q202" i="1"/>
  <c r="S202" i="1" s="1"/>
  <c r="Q206" i="1"/>
  <c r="S206" i="1" s="1"/>
  <c r="Q208" i="1"/>
  <c r="S208" i="1" s="1"/>
  <c r="Q212" i="1"/>
  <c r="S212" i="1" s="1"/>
  <c r="J168" i="1"/>
  <c r="L168" i="1" s="1"/>
  <c r="J195" i="1"/>
  <c r="L195" i="1" s="1"/>
  <c r="J196" i="1"/>
  <c r="L196" i="1" s="1"/>
  <c r="J208" i="1"/>
  <c r="L208" i="1" s="1"/>
  <c r="AG104" i="1"/>
  <c r="AI104" i="1" s="1"/>
  <c r="AG108" i="1"/>
  <c r="AI108" i="1" s="1"/>
  <c r="AG120" i="1"/>
  <c r="AI120" i="1" s="1"/>
  <c r="AG128" i="1"/>
  <c r="AI128" i="1" s="1"/>
  <c r="AG132" i="1"/>
  <c r="AI132" i="1" s="1"/>
  <c r="AG152" i="1"/>
  <c r="AI152" i="1" s="1"/>
  <c r="AG156" i="1"/>
  <c r="AI156" i="1" s="1"/>
  <c r="AG200" i="1"/>
  <c r="AI200" i="1" s="1"/>
  <c r="AG207" i="1"/>
  <c r="AI207" i="1" s="1"/>
  <c r="X175" i="1"/>
  <c r="Z175" i="1" s="1"/>
  <c r="X188" i="1"/>
  <c r="Z188" i="1" s="1"/>
  <c r="X192" i="1"/>
  <c r="Z192" i="1" s="1"/>
  <c r="X200" i="1"/>
  <c r="Z200" i="1" s="1"/>
  <c r="X208" i="1"/>
  <c r="Z208" i="1" s="1"/>
  <c r="Q192" i="1"/>
  <c r="S192" i="1" s="1"/>
  <c r="Q200" i="1"/>
  <c r="S200" i="1" s="1"/>
  <c r="Q204" i="1"/>
  <c r="S204" i="1" s="1"/>
  <c r="J207" i="1"/>
  <c r="L207" i="1" s="1"/>
  <c r="X204" i="1"/>
  <c r="Z204" i="1" s="1"/>
  <c r="J213" i="1"/>
  <c r="L213" i="1" s="1"/>
  <c r="X201" i="1"/>
  <c r="Z201" i="1" s="1"/>
  <c r="X205" i="1"/>
  <c r="Z205" i="1" s="1"/>
  <c r="X213" i="1"/>
  <c r="Z213" i="1" s="1"/>
  <c r="J206" i="1"/>
  <c r="L206" i="1" s="1"/>
  <c r="J210" i="1"/>
  <c r="L210" i="1" s="1"/>
  <c r="J209" i="1"/>
  <c r="L209" i="1" s="1"/>
  <c r="Q213" i="1"/>
  <c r="S213" i="1" s="1"/>
  <c r="Q207" i="1"/>
  <c r="S207" i="1" s="1"/>
  <c r="AG4" i="1"/>
  <c r="AI4" i="1" s="1"/>
  <c r="AG8" i="1"/>
  <c r="AI8" i="1" s="1"/>
  <c r="AG20" i="1"/>
  <c r="AI20" i="1" s="1"/>
  <c r="AG24" i="1"/>
  <c r="AI24" i="1" s="1"/>
  <c r="AG28" i="1"/>
  <c r="AI28" i="1" s="1"/>
  <c r="AG32" i="1"/>
  <c r="AI32" i="1" s="1"/>
  <c r="AG40" i="1"/>
  <c r="AI40" i="1" s="1"/>
  <c r="AG44" i="1"/>
  <c r="AI44" i="1" s="1"/>
  <c r="AG48" i="1"/>
  <c r="AI48" i="1" s="1"/>
  <c r="AG52" i="1"/>
  <c r="AI52" i="1" s="1"/>
  <c r="AG60" i="1"/>
  <c r="AI60" i="1" s="1"/>
  <c r="AG64" i="1"/>
  <c r="AI64" i="1" s="1"/>
  <c r="AG68" i="1"/>
  <c r="AI68" i="1" s="1"/>
  <c r="AG72" i="1"/>
  <c r="AI72" i="1" s="1"/>
  <c r="AG88" i="1"/>
  <c r="AI88" i="1" s="1"/>
  <c r="AG92" i="1"/>
  <c r="AI92" i="1" s="1"/>
  <c r="AG96" i="1"/>
  <c r="AI96" i="1" s="1"/>
  <c r="AG116" i="1"/>
  <c r="AI116" i="1" s="1"/>
  <c r="AG124" i="1"/>
  <c r="AI124" i="1" s="1"/>
  <c r="AG136" i="1"/>
  <c r="AI136" i="1" s="1"/>
  <c r="AG160" i="1"/>
  <c r="AI160" i="1" s="1"/>
  <c r="AG184" i="1"/>
  <c r="AI184" i="1" s="1"/>
  <c r="AG213" i="1"/>
  <c r="AI213" i="1" s="1"/>
  <c r="X198" i="1"/>
  <c r="Z198" i="1" s="1"/>
  <c r="J194" i="1"/>
  <c r="L194" i="1" s="1"/>
  <c r="J198" i="1"/>
  <c r="L198" i="1" s="1"/>
  <c r="Q182" i="1"/>
  <c r="S182" i="1" s="1"/>
  <c r="Q189" i="1"/>
  <c r="S189" i="1" s="1"/>
  <c r="Q197" i="1"/>
  <c r="S197" i="1" s="1"/>
  <c r="Q201" i="1"/>
  <c r="S201" i="1" s="1"/>
  <c r="X209" i="1"/>
  <c r="Z209" i="1" s="1"/>
  <c r="Q205" i="1"/>
  <c r="S205" i="1" s="1"/>
  <c r="W171" i="1"/>
  <c r="Y171" i="1" s="1"/>
  <c r="W175" i="1"/>
  <c r="Y175" i="1" s="1"/>
  <c r="W179" i="1"/>
  <c r="Y179" i="1" s="1"/>
  <c r="W183" i="1"/>
  <c r="Y183" i="1" s="1"/>
  <c r="W187" i="1"/>
  <c r="Y187" i="1" s="1"/>
  <c r="W191" i="1"/>
  <c r="Y191" i="1" s="1"/>
  <c r="W195" i="1"/>
  <c r="Y195" i="1" s="1"/>
  <c r="W199" i="1"/>
  <c r="Y199" i="1" s="1"/>
  <c r="W203" i="1"/>
  <c r="Y203" i="1" s="1"/>
  <c r="W207" i="1"/>
  <c r="Y207" i="1" s="1"/>
  <c r="W211" i="1"/>
  <c r="Y211" i="1" s="1"/>
  <c r="Q64" i="1"/>
  <c r="S64" i="1" s="1"/>
  <c r="Q68" i="1"/>
  <c r="S68" i="1" s="1"/>
  <c r="Q72" i="1"/>
  <c r="S72" i="1" s="1"/>
  <c r="Q76" i="1"/>
  <c r="S76" i="1" s="1"/>
  <c r="Q84" i="1"/>
  <c r="S84" i="1" s="1"/>
  <c r="Q92" i="1"/>
  <c r="S92" i="1" s="1"/>
  <c r="Q96" i="1"/>
  <c r="S96" i="1" s="1"/>
  <c r="Q104" i="1"/>
  <c r="S104" i="1" s="1"/>
  <c r="Q108" i="1"/>
  <c r="S108" i="1" s="1"/>
  <c r="Q112" i="1"/>
  <c r="S112" i="1" s="1"/>
  <c r="Q116" i="1"/>
  <c r="S116" i="1" s="1"/>
  <c r="Q120" i="1"/>
  <c r="S120" i="1" s="1"/>
  <c r="Q128" i="1"/>
  <c r="S128" i="1" s="1"/>
  <c r="Q132" i="1"/>
  <c r="S132" i="1" s="1"/>
  <c r="Q136" i="1"/>
  <c r="S136" i="1" s="1"/>
  <c r="Q144" i="1"/>
  <c r="S144" i="1" s="1"/>
  <c r="Q148" i="1"/>
  <c r="S148" i="1" s="1"/>
  <c r="Q152" i="1"/>
  <c r="S152" i="1" s="1"/>
  <c r="Q164" i="1"/>
  <c r="S164" i="1" s="1"/>
  <c r="Q168" i="1"/>
  <c r="S168" i="1" s="1"/>
  <c r="Q172" i="1"/>
  <c r="S172" i="1" s="1"/>
  <c r="Q180" i="1"/>
  <c r="S180" i="1" s="1"/>
  <c r="Q184" i="1"/>
  <c r="S184" i="1" s="1"/>
  <c r="Q196" i="1"/>
  <c r="S196" i="1" s="1"/>
  <c r="J200" i="1"/>
  <c r="L200" i="1" s="1"/>
  <c r="Q176" i="1"/>
  <c r="S176" i="1" s="1"/>
  <c r="Q193" i="1"/>
  <c r="S193" i="1" s="1"/>
  <c r="AG12" i="1"/>
  <c r="AI12" i="1" s="1"/>
  <c r="AG36" i="1"/>
  <c r="AI36" i="1" s="1"/>
  <c r="AG56" i="1"/>
  <c r="AI56" i="1" s="1"/>
  <c r="AG76" i="1"/>
  <c r="AI76" i="1" s="1"/>
  <c r="AG144" i="1"/>
  <c r="AI144" i="1" s="1"/>
  <c r="X128" i="1"/>
  <c r="Z128" i="1" s="1"/>
  <c r="X140" i="1"/>
  <c r="Z140" i="1" s="1"/>
  <c r="X144" i="1"/>
  <c r="Z144" i="1" s="1"/>
  <c r="X148" i="1"/>
  <c r="Z148" i="1" s="1"/>
  <c r="X156" i="1"/>
  <c r="Z156" i="1" s="1"/>
  <c r="X160" i="1"/>
  <c r="Z160" i="1" s="1"/>
  <c r="X164" i="1"/>
  <c r="Z164" i="1" s="1"/>
  <c r="X172" i="1"/>
  <c r="Z172" i="1" s="1"/>
  <c r="X176" i="1"/>
  <c r="Z176" i="1" s="1"/>
  <c r="X180" i="1"/>
  <c r="Z180" i="1" s="1"/>
  <c r="X184" i="1"/>
  <c r="Z184" i="1" s="1"/>
  <c r="AG151" i="1"/>
  <c r="AI151" i="1" s="1"/>
  <c r="AG175" i="1"/>
  <c r="AI175" i="1" s="1"/>
  <c r="J205" i="1"/>
  <c r="L205" i="1" s="1"/>
  <c r="Q122" i="1"/>
  <c r="S122" i="1" s="1"/>
  <c r="Q142" i="1"/>
  <c r="S142" i="1" s="1"/>
  <c r="Q150" i="1"/>
  <c r="S150" i="1" s="1"/>
  <c r="Q166" i="1"/>
  <c r="S166" i="1" s="1"/>
  <c r="Q170" i="1"/>
  <c r="S170" i="1" s="1"/>
  <c r="Q177" i="1"/>
  <c r="S177" i="1" s="1"/>
  <c r="Q178" i="1"/>
  <c r="S178" i="1" s="1"/>
  <c r="Q186" i="1"/>
  <c r="S186" i="1" s="1"/>
  <c r="AG202" i="1"/>
  <c r="AI202" i="1" s="1"/>
  <c r="J197" i="1"/>
  <c r="L197" i="1" s="1"/>
  <c r="J201" i="1"/>
  <c r="L201" i="1" s="1"/>
  <c r="Q183" i="1"/>
  <c r="S183" i="1" s="1"/>
  <c r="Q160" i="1"/>
  <c r="S160" i="1" s="1"/>
  <c r="Q88" i="1"/>
  <c r="S88" i="1" s="1"/>
  <c r="Q155" i="1"/>
  <c r="S155" i="1" s="1"/>
  <c r="Q171" i="1"/>
  <c r="S171" i="1" s="1"/>
  <c r="Q129" i="1"/>
  <c r="S129" i="1" s="1"/>
  <c r="Q137" i="1"/>
  <c r="S137" i="1" s="1"/>
  <c r="Q141" i="1"/>
  <c r="S141" i="1" s="1"/>
  <c r="Q149" i="1"/>
  <c r="S149" i="1" s="1"/>
  <c r="Q165" i="1"/>
  <c r="S165" i="1" s="1"/>
  <c r="Q173" i="1"/>
  <c r="S173" i="1" s="1"/>
  <c r="AG16" i="1"/>
  <c r="AI16" i="1" s="1"/>
  <c r="AG80" i="1"/>
  <c r="AI80" i="1" s="1"/>
  <c r="AG139" i="1"/>
  <c r="AI139" i="1" s="1"/>
  <c r="AG179" i="1"/>
  <c r="AI179" i="1" s="1"/>
  <c r="AG201" i="1"/>
  <c r="AI201" i="1" s="1"/>
  <c r="X147" i="1"/>
  <c r="Z147" i="1" s="1"/>
  <c r="X179" i="1"/>
  <c r="Z179" i="1" s="1"/>
  <c r="AG209" i="1"/>
  <c r="AI209" i="1" s="1"/>
  <c r="AG177" i="1"/>
  <c r="AI177" i="1" s="1"/>
  <c r="AG181" i="1"/>
  <c r="AI181" i="1" s="1"/>
  <c r="AG185" i="1"/>
  <c r="AI185" i="1" s="1"/>
  <c r="AG189" i="1"/>
  <c r="AI189" i="1" s="1"/>
  <c r="AG193" i="1"/>
  <c r="AI193" i="1" s="1"/>
  <c r="AG197" i="1"/>
  <c r="AI197" i="1" s="1"/>
  <c r="AG205" i="1"/>
  <c r="AI205" i="1" s="1"/>
  <c r="Q190" i="1"/>
  <c r="S190" i="1" s="1"/>
  <c r="X182" i="1"/>
  <c r="Z182" i="1" s="1"/>
  <c r="X186" i="1"/>
  <c r="Z186" i="1" s="1"/>
  <c r="Q188" i="1"/>
  <c r="S188" i="1" s="1"/>
  <c r="X32" i="1"/>
  <c r="Z32" i="1" s="1"/>
  <c r="X36" i="1"/>
  <c r="Z36" i="1" s="1"/>
  <c r="X40" i="1"/>
  <c r="Z40" i="1" s="1"/>
  <c r="X44" i="1"/>
  <c r="Z44" i="1" s="1"/>
  <c r="X48" i="1"/>
  <c r="Z48" i="1" s="1"/>
  <c r="X52" i="1"/>
  <c r="Z52" i="1" s="1"/>
  <c r="X56" i="1"/>
  <c r="Z56" i="1" s="1"/>
  <c r="X60" i="1"/>
  <c r="Z60" i="1" s="1"/>
  <c r="X64" i="1"/>
  <c r="Z64" i="1" s="1"/>
  <c r="X68" i="1"/>
  <c r="Z68" i="1" s="1"/>
  <c r="X72" i="1"/>
  <c r="Z72" i="1" s="1"/>
  <c r="X76" i="1"/>
  <c r="Z76" i="1" s="1"/>
  <c r="X80" i="1"/>
  <c r="Z80" i="1" s="1"/>
  <c r="X84" i="1"/>
  <c r="Z84" i="1" s="1"/>
  <c r="X88" i="1"/>
  <c r="Z88" i="1" s="1"/>
  <c r="X92" i="1"/>
  <c r="Z92" i="1" s="1"/>
  <c r="X96" i="1"/>
  <c r="Z96" i="1" s="1"/>
  <c r="X100" i="1"/>
  <c r="Z100" i="1" s="1"/>
  <c r="X104" i="1"/>
  <c r="Z104" i="1" s="1"/>
  <c r="X108" i="1"/>
  <c r="Z108" i="1" s="1"/>
  <c r="X112" i="1"/>
  <c r="Z112" i="1" s="1"/>
  <c r="X116" i="1"/>
  <c r="Z116" i="1" s="1"/>
  <c r="X127" i="1"/>
  <c r="Z127" i="1" s="1"/>
  <c r="X143" i="1"/>
  <c r="Z143" i="1" s="1"/>
  <c r="X195" i="1"/>
  <c r="Z195" i="1" s="1"/>
  <c r="AG5" i="1"/>
  <c r="AI5" i="1" s="1"/>
  <c r="AG6" i="1"/>
  <c r="AI6" i="1" s="1"/>
  <c r="AG7" i="1"/>
  <c r="AI7" i="1" s="1"/>
  <c r="AG9" i="1"/>
  <c r="AI9" i="1" s="1"/>
  <c r="AG10" i="1"/>
  <c r="AI10" i="1" s="1"/>
  <c r="AG11" i="1"/>
  <c r="AI11" i="1" s="1"/>
  <c r="AG13" i="1"/>
  <c r="AI13" i="1" s="1"/>
  <c r="AG14" i="1"/>
  <c r="AI14" i="1" s="1"/>
  <c r="AG15" i="1"/>
  <c r="AI15" i="1" s="1"/>
  <c r="AG17" i="1"/>
  <c r="AI17" i="1" s="1"/>
  <c r="AG18" i="1"/>
  <c r="AI18" i="1" s="1"/>
  <c r="AG19" i="1"/>
  <c r="AI19" i="1" s="1"/>
  <c r="AG21" i="1"/>
  <c r="AI21" i="1" s="1"/>
  <c r="AG22" i="1"/>
  <c r="AI22" i="1" s="1"/>
  <c r="AG23" i="1"/>
  <c r="AI23" i="1" s="1"/>
  <c r="AG25" i="1"/>
  <c r="AI25" i="1" s="1"/>
  <c r="AG26" i="1"/>
  <c r="AI26" i="1" s="1"/>
  <c r="AG27" i="1"/>
  <c r="AI27" i="1" s="1"/>
  <c r="AG29" i="1"/>
  <c r="AI29" i="1" s="1"/>
  <c r="AG30" i="1"/>
  <c r="AI30" i="1" s="1"/>
  <c r="AG31" i="1"/>
  <c r="AI31" i="1" s="1"/>
  <c r="AG33" i="1"/>
  <c r="AI33" i="1" s="1"/>
  <c r="AG34" i="1"/>
  <c r="AI34" i="1" s="1"/>
  <c r="AG35" i="1"/>
  <c r="AI35" i="1" s="1"/>
  <c r="AG37" i="1"/>
  <c r="AI37" i="1" s="1"/>
  <c r="AG38" i="1"/>
  <c r="AI38" i="1" s="1"/>
  <c r="AG39" i="1"/>
  <c r="AI39" i="1" s="1"/>
  <c r="AG41" i="1"/>
  <c r="AI41" i="1" s="1"/>
  <c r="AG42" i="1"/>
  <c r="AI42" i="1" s="1"/>
  <c r="AG43" i="1"/>
  <c r="AI43" i="1" s="1"/>
  <c r="AG45" i="1"/>
  <c r="AI45" i="1" s="1"/>
  <c r="AG46" i="1"/>
  <c r="AI46" i="1" s="1"/>
  <c r="AG47" i="1"/>
  <c r="AI47" i="1" s="1"/>
  <c r="AG49" i="1"/>
  <c r="AI49" i="1" s="1"/>
  <c r="AG50" i="1"/>
  <c r="AI50" i="1" s="1"/>
  <c r="AG51" i="1"/>
  <c r="AI51" i="1" s="1"/>
  <c r="AG53" i="1"/>
  <c r="AI53" i="1" s="1"/>
  <c r="AG54" i="1"/>
  <c r="AI54" i="1" s="1"/>
  <c r="AG55" i="1"/>
  <c r="AI55" i="1" s="1"/>
  <c r="AG57" i="1"/>
  <c r="AI57" i="1" s="1"/>
  <c r="AG58" i="1"/>
  <c r="AI58" i="1" s="1"/>
  <c r="AG59" i="1"/>
  <c r="AI59" i="1" s="1"/>
  <c r="AG61" i="1"/>
  <c r="AI61" i="1" s="1"/>
  <c r="AG62" i="1"/>
  <c r="AI62" i="1" s="1"/>
  <c r="AG63" i="1"/>
  <c r="AI63" i="1" s="1"/>
  <c r="AG65" i="1"/>
  <c r="AI65" i="1" s="1"/>
  <c r="AG69" i="1"/>
  <c r="AI69" i="1" s="1"/>
  <c r="AG70" i="1"/>
  <c r="AI70" i="1" s="1"/>
  <c r="AG73" i="1"/>
  <c r="AI73" i="1" s="1"/>
  <c r="AG74" i="1"/>
  <c r="AI74" i="1" s="1"/>
  <c r="AG77" i="1"/>
  <c r="AI77" i="1" s="1"/>
  <c r="AG78" i="1"/>
  <c r="AI78" i="1" s="1"/>
  <c r="AG79" i="1"/>
  <c r="AI79" i="1" s="1"/>
  <c r="AG81" i="1"/>
  <c r="AI81" i="1" s="1"/>
  <c r="AG85" i="1"/>
  <c r="AI85" i="1" s="1"/>
  <c r="AG86" i="1"/>
  <c r="AI86" i="1" s="1"/>
  <c r="AG89" i="1"/>
  <c r="AI89" i="1" s="1"/>
  <c r="AG90" i="1"/>
  <c r="AI90" i="1" s="1"/>
  <c r="AG93" i="1"/>
  <c r="AI93" i="1" s="1"/>
  <c r="AG94" i="1"/>
  <c r="AI94" i="1" s="1"/>
  <c r="AG95" i="1"/>
  <c r="AI95" i="1" s="1"/>
  <c r="AG97" i="1"/>
  <c r="AI97" i="1" s="1"/>
  <c r="AG101" i="1"/>
  <c r="AI101" i="1" s="1"/>
  <c r="AG102" i="1"/>
  <c r="AI102" i="1" s="1"/>
  <c r="AG105" i="1"/>
  <c r="AI105" i="1" s="1"/>
  <c r="AG106" i="1"/>
  <c r="AI106" i="1" s="1"/>
  <c r="AG109" i="1"/>
  <c r="AI109" i="1" s="1"/>
  <c r="AG110" i="1"/>
  <c r="AI110" i="1" s="1"/>
  <c r="AG111" i="1"/>
  <c r="AI111" i="1" s="1"/>
  <c r="AG113" i="1"/>
  <c r="AI113" i="1" s="1"/>
  <c r="AG117" i="1"/>
  <c r="AI117" i="1" s="1"/>
  <c r="AG118" i="1"/>
  <c r="AI118" i="1" s="1"/>
  <c r="AG121" i="1"/>
  <c r="AI121" i="1" s="1"/>
  <c r="AG122" i="1"/>
  <c r="AI122" i="1" s="1"/>
  <c r="AG125" i="1"/>
  <c r="AI125" i="1" s="1"/>
  <c r="AG126" i="1"/>
  <c r="AI126" i="1" s="1"/>
  <c r="AG129" i="1"/>
  <c r="AI129" i="1" s="1"/>
  <c r="AG130" i="1"/>
  <c r="AI130" i="1" s="1"/>
  <c r="AG133" i="1"/>
  <c r="AI133" i="1" s="1"/>
  <c r="AG134" i="1"/>
  <c r="AI134" i="1" s="1"/>
  <c r="AG137" i="1"/>
  <c r="AI137" i="1" s="1"/>
  <c r="AG138" i="1"/>
  <c r="AI138" i="1" s="1"/>
  <c r="AG141" i="1"/>
  <c r="AI141" i="1" s="1"/>
  <c r="AG142" i="1"/>
  <c r="AI142" i="1" s="1"/>
  <c r="AG145" i="1"/>
  <c r="AI145" i="1" s="1"/>
  <c r="AG146" i="1"/>
  <c r="AI146" i="1" s="1"/>
  <c r="AG149" i="1"/>
  <c r="AI149" i="1" s="1"/>
  <c r="AG150" i="1"/>
  <c r="AI150" i="1" s="1"/>
  <c r="AG153" i="1"/>
  <c r="AI153" i="1" s="1"/>
  <c r="AG154" i="1"/>
  <c r="AI154" i="1" s="1"/>
  <c r="AG157" i="1"/>
  <c r="AI157" i="1" s="1"/>
  <c r="AG158" i="1"/>
  <c r="AI158" i="1" s="1"/>
  <c r="AG161" i="1"/>
  <c r="AI161" i="1" s="1"/>
  <c r="AG162" i="1"/>
  <c r="AI162" i="1" s="1"/>
  <c r="AG165" i="1"/>
  <c r="AI165" i="1" s="1"/>
  <c r="AG166" i="1"/>
  <c r="AI166" i="1" s="1"/>
  <c r="AG169" i="1"/>
  <c r="AI169" i="1" s="1"/>
  <c r="AG170" i="1"/>
  <c r="AI170" i="1" s="1"/>
  <c r="AG173" i="1"/>
  <c r="AI173" i="1" s="1"/>
  <c r="AG174" i="1"/>
  <c r="AI174" i="1" s="1"/>
  <c r="AG182" i="1"/>
  <c r="AI182" i="1" s="1"/>
  <c r="AG186" i="1"/>
  <c r="AI186" i="1" s="1"/>
  <c r="AG198" i="1"/>
  <c r="AI198" i="1" s="1"/>
  <c r="AF4" i="1"/>
  <c r="AH4" i="1" s="1"/>
  <c r="AF5" i="1"/>
  <c r="AH5" i="1" s="1"/>
  <c r="AF6" i="1"/>
  <c r="AH6" i="1" s="1"/>
  <c r="AF7" i="1"/>
  <c r="AH7" i="1" s="1"/>
  <c r="AF8" i="1"/>
  <c r="AH8" i="1" s="1"/>
  <c r="AF9" i="1"/>
  <c r="AH9" i="1" s="1"/>
  <c r="AF10" i="1"/>
  <c r="AH10" i="1" s="1"/>
  <c r="AF11" i="1"/>
  <c r="AH11" i="1" s="1"/>
  <c r="AF12" i="1"/>
  <c r="AH12" i="1" s="1"/>
  <c r="AF13" i="1"/>
  <c r="AH13" i="1" s="1"/>
  <c r="AF14" i="1"/>
  <c r="AH14" i="1" s="1"/>
  <c r="AF15" i="1"/>
  <c r="AH15" i="1" s="1"/>
  <c r="AF16" i="1"/>
  <c r="AH16" i="1" s="1"/>
  <c r="AF17" i="1"/>
  <c r="AH17" i="1" s="1"/>
  <c r="AF18" i="1"/>
  <c r="AH18" i="1" s="1"/>
  <c r="AF19" i="1"/>
  <c r="AH19" i="1" s="1"/>
  <c r="AF20" i="1"/>
  <c r="AH20" i="1" s="1"/>
  <c r="AF21" i="1"/>
  <c r="AH21" i="1" s="1"/>
  <c r="AF22" i="1"/>
  <c r="AH22" i="1" s="1"/>
  <c r="AF23" i="1"/>
  <c r="AH23" i="1" s="1"/>
  <c r="AF24" i="1"/>
  <c r="AH24" i="1" s="1"/>
  <c r="AF25" i="1"/>
  <c r="AH25" i="1" s="1"/>
  <c r="AF26" i="1"/>
  <c r="AH26" i="1" s="1"/>
  <c r="AF27" i="1"/>
  <c r="AH27" i="1" s="1"/>
  <c r="AF28" i="1"/>
  <c r="AH28" i="1" s="1"/>
  <c r="AF29" i="1"/>
  <c r="AH29" i="1" s="1"/>
  <c r="AF30" i="1"/>
  <c r="AH30" i="1" s="1"/>
  <c r="AF31" i="1"/>
  <c r="AH31" i="1" s="1"/>
  <c r="AF32" i="1"/>
  <c r="AH32" i="1" s="1"/>
  <c r="AF33" i="1"/>
  <c r="AH33" i="1" s="1"/>
  <c r="AF34" i="1"/>
  <c r="AH34" i="1" s="1"/>
  <c r="AF35" i="1"/>
  <c r="AH35" i="1" s="1"/>
  <c r="AF36" i="1"/>
  <c r="AH36" i="1" s="1"/>
  <c r="AF37" i="1"/>
  <c r="AH37" i="1" s="1"/>
  <c r="AF38" i="1"/>
  <c r="AH38" i="1" s="1"/>
  <c r="AF39" i="1"/>
  <c r="AH39" i="1" s="1"/>
  <c r="AF40" i="1"/>
  <c r="AH40" i="1" s="1"/>
  <c r="AF41" i="1"/>
  <c r="AH41" i="1" s="1"/>
  <c r="AF42" i="1"/>
  <c r="AH42" i="1" s="1"/>
  <c r="AF43" i="1"/>
  <c r="AH43" i="1" s="1"/>
  <c r="AF44" i="1"/>
  <c r="AH44" i="1" s="1"/>
  <c r="AF45" i="1"/>
  <c r="AH45" i="1" s="1"/>
  <c r="AF46" i="1"/>
  <c r="AH46" i="1" s="1"/>
  <c r="AF47" i="1"/>
  <c r="AH47" i="1" s="1"/>
  <c r="AF48" i="1"/>
  <c r="AH48" i="1" s="1"/>
  <c r="AF49" i="1"/>
  <c r="AH49" i="1" s="1"/>
  <c r="AF50" i="1"/>
  <c r="AH50" i="1" s="1"/>
  <c r="AF51" i="1"/>
  <c r="AH51" i="1" s="1"/>
  <c r="AF52" i="1"/>
  <c r="AH52" i="1" s="1"/>
  <c r="AF53" i="1"/>
  <c r="AH53" i="1" s="1"/>
  <c r="AF54" i="1"/>
  <c r="AH54" i="1" s="1"/>
  <c r="AF55" i="1"/>
  <c r="AH55" i="1" s="1"/>
  <c r="AF56" i="1"/>
  <c r="AH56" i="1" s="1"/>
  <c r="AF57" i="1"/>
  <c r="AH57" i="1" s="1"/>
  <c r="AF58" i="1"/>
  <c r="AH58" i="1" s="1"/>
  <c r="AF59" i="1"/>
  <c r="AH59" i="1" s="1"/>
  <c r="AF60" i="1"/>
  <c r="AH60" i="1" s="1"/>
  <c r="AF61" i="1"/>
  <c r="AH61" i="1" s="1"/>
  <c r="AF62" i="1"/>
  <c r="AH62" i="1" s="1"/>
  <c r="AF63" i="1"/>
  <c r="AH63" i="1" s="1"/>
  <c r="AF64" i="1"/>
  <c r="AH64" i="1" s="1"/>
  <c r="AF65" i="1"/>
  <c r="AH65" i="1" s="1"/>
  <c r="AF66" i="1"/>
  <c r="AH66" i="1" s="1"/>
  <c r="AF67" i="1"/>
  <c r="AH67" i="1" s="1"/>
  <c r="AF68" i="1"/>
  <c r="AH68" i="1" s="1"/>
  <c r="AF69" i="1"/>
  <c r="AH69" i="1" s="1"/>
  <c r="AF70" i="1"/>
  <c r="AH70" i="1" s="1"/>
  <c r="AF71" i="1"/>
  <c r="AH71" i="1" s="1"/>
  <c r="AF72" i="1"/>
  <c r="AH72" i="1" s="1"/>
  <c r="AF73" i="1"/>
  <c r="AH73" i="1" s="1"/>
  <c r="AF74" i="1"/>
  <c r="AH74" i="1" s="1"/>
  <c r="AF75" i="1"/>
  <c r="AH75" i="1" s="1"/>
  <c r="AF76" i="1"/>
  <c r="AH76" i="1" s="1"/>
  <c r="AF77" i="1"/>
  <c r="AH77" i="1" s="1"/>
  <c r="AF78" i="1"/>
  <c r="AH78" i="1" s="1"/>
  <c r="AF79" i="1"/>
  <c r="AH79" i="1" s="1"/>
  <c r="AF80" i="1"/>
  <c r="AH80" i="1" s="1"/>
  <c r="AF81" i="1"/>
  <c r="AH81" i="1" s="1"/>
  <c r="AF82" i="1"/>
  <c r="AH82" i="1" s="1"/>
  <c r="AF83" i="1"/>
  <c r="AH83" i="1" s="1"/>
  <c r="AF84" i="1"/>
  <c r="AH84" i="1" s="1"/>
  <c r="AF85" i="1"/>
  <c r="AH85" i="1" s="1"/>
  <c r="AF86" i="1"/>
  <c r="AH86" i="1" s="1"/>
  <c r="AF87" i="1"/>
  <c r="AH87" i="1" s="1"/>
  <c r="AF88" i="1"/>
  <c r="AH88" i="1" s="1"/>
  <c r="AF89" i="1"/>
  <c r="AH89" i="1" s="1"/>
  <c r="AF90" i="1"/>
  <c r="AH90" i="1" s="1"/>
  <c r="AF91" i="1"/>
  <c r="AH91" i="1" s="1"/>
  <c r="AF92" i="1"/>
  <c r="AH92" i="1" s="1"/>
  <c r="AF93" i="1"/>
  <c r="AH93" i="1" s="1"/>
  <c r="AF94" i="1"/>
  <c r="AH94" i="1" s="1"/>
  <c r="AF95" i="1"/>
  <c r="AH95" i="1" s="1"/>
  <c r="AF96" i="1"/>
  <c r="AH96" i="1" s="1"/>
  <c r="AF97" i="1"/>
  <c r="AH97" i="1" s="1"/>
  <c r="AF98" i="1"/>
  <c r="AH98" i="1" s="1"/>
  <c r="AF99" i="1"/>
  <c r="AH99" i="1" s="1"/>
  <c r="AF100" i="1"/>
  <c r="AH100" i="1" s="1"/>
  <c r="AF101" i="1"/>
  <c r="AH101" i="1" s="1"/>
  <c r="AF102" i="1"/>
  <c r="AH102" i="1" s="1"/>
  <c r="AF103" i="1"/>
  <c r="AH103" i="1" s="1"/>
  <c r="AF104" i="1"/>
  <c r="AH104" i="1" s="1"/>
  <c r="AF105" i="1"/>
  <c r="AH105" i="1" s="1"/>
  <c r="AF106" i="1"/>
  <c r="AH106" i="1" s="1"/>
  <c r="AF107" i="1"/>
  <c r="AH107" i="1" s="1"/>
  <c r="AF108" i="1"/>
  <c r="AH108" i="1" s="1"/>
  <c r="AF109" i="1"/>
  <c r="AH109" i="1" s="1"/>
  <c r="AF110" i="1"/>
  <c r="AH110" i="1" s="1"/>
  <c r="AF111" i="1"/>
  <c r="AH111" i="1" s="1"/>
  <c r="AF112" i="1"/>
  <c r="AH112" i="1" s="1"/>
  <c r="AF113" i="1"/>
  <c r="AH113" i="1" s="1"/>
  <c r="AF114" i="1"/>
  <c r="AH114" i="1" s="1"/>
  <c r="AF115" i="1"/>
  <c r="AH115" i="1" s="1"/>
  <c r="AF116" i="1"/>
  <c r="AH116" i="1" s="1"/>
  <c r="AF117" i="1"/>
  <c r="AH117" i="1" s="1"/>
  <c r="AF118" i="1"/>
  <c r="AH118" i="1" s="1"/>
  <c r="AF119" i="1"/>
  <c r="AH119" i="1" s="1"/>
  <c r="AF120" i="1"/>
  <c r="AH120" i="1" s="1"/>
  <c r="AF121" i="1"/>
  <c r="AH121" i="1" s="1"/>
  <c r="AF122" i="1"/>
  <c r="AH122" i="1" s="1"/>
  <c r="AF123" i="1"/>
  <c r="AH123" i="1" s="1"/>
  <c r="AF124" i="1"/>
  <c r="AH124" i="1" s="1"/>
  <c r="AF125" i="1"/>
  <c r="AH125" i="1" s="1"/>
  <c r="AF126" i="1"/>
  <c r="AH126" i="1" s="1"/>
  <c r="AF127" i="1"/>
  <c r="AH127" i="1" s="1"/>
  <c r="AF128" i="1"/>
  <c r="AH128" i="1" s="1"/>
  <c r="AF129" i="1"/>
  <c r="AH129" i="1" s="1"/>
  <c r="AF130" i="1"/>
  <c r="AH130" i="1" s="1"/>
  <c r="AF131" i="1"/>
  <c r="AH131" i="1" s="1"/>
  <c r="AF132" i="1"/>
  <c r="AH132" i="1" s="1"/>
  <c r="AF133" i="1"/>
  <c r="AH133" i="1" s="1"/>
  <c r="AF134" i="1"/>
  <c r="AH134" i="1" s="1"/>
  <c r="AF135" i="1"/>
  <c r="AH135" i="1" s="1"/>
  <c r="AF136" i="1"/>
  <c r="AH136" i="1" s="1"/>
  <c r="AF137" i="1"/>
  <c r="AH137" i="1" s="1"/>
  <c r="AF138" i="1"/>
  <c r="AH138" i="1" s="1"/>
  <c r="AF139" i="1"/>
  <c r="AH139" i="1" s="1"/>
  <c r="AF140" i="1"/>
  <c r="AH140" i="1" s="1"/>
  <c r="AF141" i="1"/>
  <c r="AH141" i="1" s="1"/>
  <c r="AF142" i="1"/>
  <c r="AH142" i="1" s="1"/>
  <c r="AF143" i="1"/>
  <c r="AH143" i="1" s="1"/>
  <c r="AF144" i="1"/>
  <c r="AH144" i="1" s="1"/>
  <c r="AF145" i="1"/>
  <c r="AH145" i="1" s="1"/>
  <c r="AF146" i="1"/>
  <c r="AH146" i="1" s="1"/>
  <c r="AF147" i="1"/>
  <c r="AH147" i="1" s="1"/>
  <c r="AF148" i="1"/>
  <c r="AH148" i="1" s="1"/>
  <c r="AF149" i="1"/>
  <c r="AH149" i="1" s="1"/>
  <c r="AF150" i="1"/>
  <c r="AH150" i="1" s="1"/>
  <c r="AF151" i="1"/>
  <c r="AH151" i="1" s="1"/>
  <c r="AF152" i="1"/>
  <c r="AH152" i="1" s="1"/>
  <c r="AF153" i="1"/>
  <c r="AH153" i="1" s="1"/>
  <c r="AF154" i="1"/>
  <c r="AH154" i="1" s="1"/>
  <c r="AF155" i="1"/>
  <c r="AH155" i="1" s="1"/>
  <c r="AF156" i="1"/>
  <c r="AH156" i="1" s="1"/>
  <c r="AF157" i="1"/>
  <c r="AH157" i="1" s="1"/>
  <c r="AF158" i="1"/>
  <c r="AH158" i="1" s="1"/>
  <c r="AF159" i="1"/>
  <c r="AH159" i="1" s="1"/>
  <c r="AF160" i="1"/>
  <c r="AH160" i="1" s="1"/>
  <c r="AF161" i="1"/>
  <c r="AH161" i="1" s="1"/>
  <c r="AF162" i="1"/>
  <c r="AH162" i="1" s="1"/>
  <c r="AF163" i="1"/>
  <c r="AH163" i="1" s="1"/>
  <c r="AF164" i="1"/>
  <c r="AH164" i="1" s="1"/>
  <c r="AF165" i="1"/>
  <c r="AH165" i="1" s="1"/>
  <c r="AF166" i="1"/>
  <c r="AH166" i="1" s="1"/>
  <c r="AF167" i="1"/>
  <c r="AH167" i="1" s="1"/>
  <c r="AF168" i="1"/>
  <c r="AH168" i="1" s="1"/>
  <c r="AF169" i="1"/>
  <c r="AH169" i="1" s="1"/>
  <c r="AF170" i="1"/>
  <c r="AH170" i="1" s="1"/>
  <c r="AF171" i="1"/>
  <c r="AH171" i="1" s="1"/>
  <c r="AF172" i="1"/>
  <c r="AH172" i="1" s="1"/>
  <c r="AF173" i="1"/>
  <c r="AH173" i="1" s="1"/>
  <c r="AF174" i="1"/>
  <c r="AH174" i="1" s="1"/>
  <c r="AF175" i="1"/>
  <c r="AH175" i="1" s="1"/>
  <c r="AF176" i="1"/>
  <c r="AH176" i="1" s="1"/>
  <c r="AF177" i="1"/>
  <c r="AH177" i="1" s="1"/>
  <c r="AF178" i="1"/>
  <c r="AH178" i="1" s="1"/>
  <c r="AF179" i="1"/>
  <c r="AH179" i="1" s="1"/>
  <c r="AF180" i="1"/>
  <c r="AH180" i="1" s="1"/>
  <c r="AF181" i="1"/>
  <c r="AH181" i="1" s="1"/>
  <c r="AF182" i="1"/>
  <c r="AH182" i="1" s="1"/>
  <c r="AF183" i="1"/>
  <c r="AH183" i="1" s="1"/>
  <c r="AF184" i="1"/>
  <c r="AH184" i="1" s="1"/>
  <c r="AF185" i="1"/>
  <c r="AH185" i="1" s="1"/>
  <c r="AF186" i="1"/>
  <c r="AH186" i="1" s="1"/>
  <c r="AF187" i="1"/>
  <c r="AH187" i="1" s="1"/>
  <c r="AF188" i="1"/>
  <c r="AH188" i="1" s="1"/>
  <c r="AF189" i="1"/>
  <c r="AH189" i="1" s="1"/>
  <c r="AF190" i="1"/>
  <c r="AH190" i="1" s="1"/>
  <c r="AF191" i="1"/>
  <c r="AH191" i="1" s="1"/>
  <c r="AF192" i="1"/>
  <c r="AH192" i="1" s="1"/>
  <c r="AF193" i="1"/>
  <c r="AH193" i="1" s="1"/>
  <c r="AF194" i="1"/>
  <c r="AH194" i="1" s="1"/>
  <c r="AF195" i="1"/>
  <c r="AH195" i="1" s="1"/>
  <c r="AF196" i="1"/>
  <c r="AH196" i="1" s="1"/>
  <c r="AF197" i="1"/>
  <c r="AH197" i="1" s="1"/>
  <c r="AF198" i="1"/>
  <c r="AH198" i="1" s="1"/>
  <c r="AF199" i="1"/>
  <c r="AH199" i="1" s="1"/>
  <c r="AF200" i="1"/>
  <c r="AH200" i="1" s="1"/>
  <c r="AF201" i="1"/>
  <c r="AH201" i="1" s="1"/>
  <c r="AF202" i="1"/>
  <c r="AH202" i="1" s="1"/>
  <c r="AF203" i="1"/>
  <c r="AH203" i="1" s="1"/>
  <c r="AF204" i="1"/>
  <c r="AH204" i="1" s="1"/>
  <c r="AF205" i="1"/>
  <c r="AH205" i="1" s="1"/>
  <c r="AF206" i="1"/>
  <c r="AH206" i="1" s="1"/>
  <c r="AF207" i="1"/>
  <c r="AH207" i="1" s="1"/>
  <c r="AF208" i="1"/>
  <c r="AH208" i="1" s="1"/>
  <c r="AF209" i="1"/>
  <c r="AH209" i="1" s="1"/>
  <c r="AF210" i="1"/>
  <c r="AH210" i="1" s="1"/>
  <c r="AF211" i="1"/>
  <c r="AH211" i="1" s="1"/>
  <c r="AF212" i="1"/>
  <c r="AH212" i="1" s="1"/>
  <c r="AF213" i="1"/>
  <c r="AH213" i="1" s="1"/>
  <c r="AF3" i="1"/>
  <c r="AH3" i="1" s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J181" i="1"/>
  <c r="L181" i="1" s="1"/>
  <c r="J189" i="1"/>
  <c r="L189" i="1" s="1"/>
  <c r="J193" i="1"/>
  <c r="L193" i="1" s="1"/>
  <c r="J36" i="1"/>
  <c r="L36" i="1" s="1"/>
  <c r="J40" i="1"/>
  <c r="L40" i="1" s="1"/>
  <c r="J44" i="1"/>
  <c r="L44" i="1" s="1"/>
  <c r="J48" i="1"/>
  <c r="L48" i="1" s="1"/>
  <c r="J52" i="1"/>
  <c r="L52" i="1" s="1"/>
  <c r="J56" i="1"/>
  <c r="L56" i="1" s="1"/>
  <c r="J60" i="1"/>
  <c r="L60" i="1" s="1"/>
  <c r="J64" i="1"/>
  <c r="L64" i="1" s="1"/>
  <c r="J68" i="1"/>
  <c r="L68" i="1" s="1"/>
  <c r="J72" i="1"/>
  <c r="L72" i="1" s="1"/>
  <c r="J76" i="1"/>
  <c r="L76" i="1" s="1"/>
  <c r="J80" i="1"/>
  <c r="L80" i="1" s="1"/>
  <c r="J84" i="1"/>
  <c r="L84" i="1" s="1"/>
  <c r="J88" i="1"/>
  <c r="L88" i="1" s="1"/>
  <c r="J92" i="1"/>
  <c r="L92" i="1" s="1"/>
  <c r="J96" i="1"/>
  <c r="L96" i="1" s="1"/>
  <c r="J100" i="1"/>
  <c r="L100" i="1" s="1"/>
  <c r="J104" i="1"/>
  <c r="L104" i="1" s="1"/>
  <c r="J108" i="1"/>
  <c r="L108" i="1" s="1"/>
  <c r="J112" i="1"/>
  <c r="L112" i="1" s="1"/>
  <c r="J116" i="1"/>
  <c r="L116" i="1" s="1"/>
  <c r="J127" i="1"/>
  <c r="L127" i="1" s="1"/>
  <c r="J131" i="1"/>
  <c r="L131" i="1" s="1"/>
  <c r="J143" i="1"/>
  <c r="L143" i="1" s="1"/>
  <c r="J147" i="1"/>
  <c r="L147" i="1" s="1"/>
  <c r="J159" i="1"/>
  <c r="L159" i="1" s="1"/>
  <c r="J163" i="1"/>
  <c r="L163" i="1" s="1"/>
  <c r="J179" i="1"/>
  <c r="L179" i="1" s="1"/>
  <c r="J183" i="1"/>
  <c r="L183" i="1" s="1"/>
  <c r="Q80" i="1"/>
  <c r="S80" i="1" s="1"/>
  <c r="Q100" i="1"/>
  <c r="S100" i="1" s="1"/>
  <c r="Q139" i="1"/>
  <c r="S139" i="1" s="1"/>
  <c r="X178" i="1"/>
  <c r="Z178" i="1" s="1"/>
  <c r="X4" i="1"/>
  <c r="Z4" i="1" s="1"/>
  <c r="X5" i="1"/>
  <c r="Z5" i="1" s="1"/>
  <c r="X6" i="1"/>
  <c r="Z6" i="1" s="1"/>
  <c r="X7" i="1"/>
  <c r="Z7" i="1" s="1"/>
  <c r="X8" i="1"/>
  <c r="Z8" i="1" s="1"/>
  <c r="X9" i="1"/>
  <c r="Z9" i="1" s="1"/>
  <c r="X10" i="1"/>
  <c r="Z10" i="1" s="1"/>
  <c r="X11" i="1"/>
  <c r="Z11" i="1" s="1"/>
  <c r="X12" i="1"/>
  <c r="Z12" i="1" s="1"/>
  <c r="X13" i="1"/>
  <c r="Z13" i="1" s="1"/>
  <c r="X14" i="1"/>
  <c r="Z14" i="1" s="1"/>
  <c r="X15" i="1"/>
  <c r="Z15" i="1" s="1"/>
  <c r="X16" i="1"/>
  <c r="Z16" i="1" s="1"/>
  <c r="X17" i="1"/>
  <c r="Z17" i="1" s="1"/>
  <c r="X18" i="1"/>
  <c r="Z18" i="1" s="1"/>
  <c r="X19" i="1"/>
  <c r="Z19" i="1" s="1"/>
  <c r="X20" i="1"/>
  <c r="Z20" i="1" s="1"/>
  <c r="X21" i="1"/>
  <c r="Z21" i="1" s="1"/>
  <c r="X22" i="1"/>
  <c r="Z22" i="1" s="1"/>
  <c r="X23" i="1"/>
  <c r="Z23" i="1" s="1"/>
  <c r="X24" i="1"/>
  <c r="Z24" i="1" s="1"/>
  <c r="X25" i="1"/>
  <c r="Z25" i="1" s="1"/>
  <c r="X26" i="1"/>
  <c r="Z26" i="1" s="1"/>
  <c r="X27" i="1"/>
  <c r="Z27" i="1" s="1"/>
  <c r="X28" i="1"/>
  <c r="Z28" i="1" s="1"/>
  <c r="X29" i="1"/>
  <c r="Z29" i="1" s="1"/>
  <c r="X30" i="1"/>
  <c r="Z30" i="1" s="1"/>
  <c r="X31" i="1"/>
  <c r="Z31" i="1" s="1"/>
  <c r="X33" i="1"/>
  <c r="Z33" i="1" s="1"/>
  <c r="X34" i="1"/>
  <c r="Z34" i="1" s="1"/>
  <c r="X35" i="1"/>
  <c r="Z35" i="1" s="1"/>
  <c r="X37" i="1"/>
  <c r="Z37" i="1" s="1"/>
  <c r="X38" i="1"/>
  <c r="Z38" i="1" s="1"/>
  <c r="X39" i="1"/>
  <c r="Z39" i="1" s="1"/>
  <c r="X41" i="1"/>
  <c r="Z41" i="1" s="1"/>
  <c r="X42" i="1"/>
  <c r="Z42" i="1" s="1"/>
  <c r="X43" i="1"/>
  <c r="Z43" i="1" s="1"/>
  <c r="X45" i="1"/>
  <c r="Z45" i="1" s="1"/>
  <c r="X46" i="1"/>
  <c r="Z46" i="1" s="1"/>
  <c r="X47" i="1"/>
  <c r="Z47" i="1" s="1"/>
  <c r="X49" i="1"/>
  <c r="Z49" i="1" s="1"/>
  <c r="X50" i="1"/>
  <c r="Z50" i="1" s="1"/>
  <c r="X51" i="1"/>
  <c r="Z51" i="1" s="1"/>
  <c r="X53" i="1"/>
  <c r="Z53" i="1" s="1"/>
  <c r="X54" i="1"/>
  <c r="Z54" i="1" s="1"/>
  <c r="X55" i="1"/>
  <c r="Z55" i="1" s="1"/>
  <c r="X57" i="1"/>
  <c r="Z57" i="1" s="1"/>
  <c r="X58" i="1"/>
  <c r="Z58" i="1" s="1"/>
  <c r="X59" i="1"/>
  <c r="Z59" i="1" s="1"/>
  <c r="X61" i="1"/>
  <c r="Z61" i="1" s="1"/>
  <c r="X62" i="1"/>
  <c r="Z62" i="1" s="1"/>
  <c r="X63" i="1"/>
  <c r="Z63" i="1" s="1"/>
  <c r="X66" i="1"/>
  <c r="Z66" i="1" s="1"/>
  <c r="X69" i="1"/>
  <c r="Z69" i="1" s="1"/>
  <c r="X70" i="1"/>
  <c r="Z70" i="1" s="1"/>
  <c r="X73" i="1"/>
  <c r="Z73" i="1" s="1"/>
  <c r="X74" i="1"/>
  <c r="Z74" i="1" s="1"/>
  <c r="X75" i="1"/>
  <c r="Z75" i="1" s="1"/>
  <c r="X81" i="1"/>
  <c r="Z81" i="1" s="1"/>
  <c r="X85" i="1"/>
  <c r="Z85" i="1" s="1"/>
  <c r="X86" i="1"/>
  <c r="Z86" i="1" s="1"/>
  <c r="X89" i="1"/>
  <c r="Z89" i="1" s="1"/>
  <c r="X90" i="1"/>
  <c r="Z90" i="1" s="1"/>
  <c r="X91" i="1"/>
  <c r="Z91" i="1" s="1"/>
  <c r="X97" i="1"/>
  <c r="Z97" i="1" s="1"/>
  <c r="X101" i="1"/>
  <c r="Z101" i="1" s="1"/>
  <c r="X102" i="1"/>
  <c r="Z102" i="1" s="1"/>
  <c r="X105" i="1"/>
  <c r="Z105" i="1" s="1"/>
  <c r="X106" i="1"/>
  <c r="Z106" i="1" s="1"/>
  <c r="X107" i="1"/>
  <c r="Z107" i="1" s="1"/>
  <c r="X113" i="1"/>
  <c r="Z113" i="1" s="1"/>
  <c r="X117" i="1"/>
  <c r="Z117" i="1" s="1"/>
  <c r="X118" i="1"/>
  <c r="Z118" i="1" s="1"/>
  <c r="X120" i="1"/>
  <c r="Z120" i="1" s="1"/>
  <c r="X121" i="1"/>
  <c r="Z121" i="1" s="1"/>
  <c r="X122" i="1"/>
  <c r="Z122" i="1" s="1"/>
  <c r="X124" i="1"/>
  <c r="Z124" i="1" s="1"/>
  <c r="X129" i="1"/>
  <c r="Z129" i="1" s="1"/>
  <c r="X130" i="1"/>
  <c r="Z130" i="1" s="1"/>
  <c r="X132" i="1"/>
  <c r="Z132" i="1" s="1"/>
  <c r="X133" i="1"/>
  <c r="Z133" i="1" s="1"/>
  <c r="X134" i="1"/>
  <c r="Z134" i="1" s="1"/>
  <c r="X136" i="1"/>
  <c r="Z136" i="1" s="1"/>
  <c r="X141" i="1"/>
  <c r="Z141" i="1" s="1"/>
  <c r="X142" i="1"/>
  <c r="Z142" i="1" s="1"/>
  <c r="X149" i="1"/>
  <c r="Z149" i="1" s="1"/>
  <c r="X150" i="1"/>
  <c r="Z150" i="1" s="1"/>
  <c r="X152" i="1"/>
  <c r="Z152" i="1" s="1"/>
  <c r="X153" i="1"/>
  <c r="Z153" i="1" s="1"/>
  <c r="X154" i="1"/>
  <c r="Z154" i="1" s="1"/>
  <c r="X157" i="1"/>
  <c r="Z157" i="1" s="1"/>
  <c r="X161" i="1"/>
  <c r="Z161" i="1" s="1"/>
  <c r="X162" i="1"/>
  <c r="Z162" i="1" s="1"/>
  <c r="X165" i="1"/>
  <c r="Z165" i="1" s="1"/>
  <c r="X168" i="1"/>
  <c r="Z168" i="1" s="1"/>
  <c r="X169" i="1"/>
  <c r="Z169" i="1" s="1"/>
  <c r="X170" i="1"/>
  <c r="Z170" i="1" s="1"/>
  <c r="X177" i="1"/>
  <c r="Z177" i="1" s="1"/>
  <c r="X181" i="1"/>
  <c r="Z181" i="1" s="1"/>
  <c r="X185" i="1"/>
  <c r="Z185" i="1" s="1"/>
  <c r="X193" i="1"/>
  <c r="Z193" i="1" s="1"/>
  <c r="X196" i="1"/>
  <c r="Z196" i="1" s="1"/>
  <c r="W4" i="1"/>
  <c r="Y4" i="1" s="1"/>
  <c r="W5" i="1"/>
  <c r="Y5" i="1" s="1"/>
  <c r="W6" i="1"/>
  <c r="Y6" i="1" s="1"/>
  <c r="W7" i="1"/>
  <c r="Y7" i="1" s="1"/>
  <c r="W8" i="1"/>
  <c r="Y8" i="1" s="1"/>
  <c r="W9" i="1"/>
  <c r="Y9" i="1" s="1"/>
  <c r="W10" i="1"/>
  <c r="Y10" i="1" s="1"/>
  <c r="W11" i="1"/>
  <c r="Y11" i="1" s="1"/>
  <c r="W12" i="1"/>
  <c r="Y12" i="1" s="1"/>
  <c r="W13" i="1"/>
  <c r="Y13" i="1" s="1"/>
  <c r="W14" i="1"/>
  <c r="Y14" i="1" s="1"/>
  <c r="W15" i="1"/>
  <c r="Y15" i="1" s="1"/>
  <c r="W16" i="1"/>
  <c r="Y16" i="1" s="1"/>
  <c r="W17" i="1"/>
  <c r="Y17" i="1" s="1"/>
  <c r="W18" i="1"/>
  <c r="Y18" i="1" s="1"/>
  <c r="W19" i="1"/>
  <c r="Y19" i="1" s="1"/>
  <c r="W20" i="1"/>
  <c r="Y20" i="1" s="1"/>
  <c r="W21" i="1"/>
  <c r="Y21" i="1" s="1"/>
  <c r="W22" i="1"/>
  <c r="Y22" i="1" s="1"/>
  <c r="W23" i="1"/>
  <c r="Y23" i="1" s="1"/>
  <c r="W24" i="1"/>
  <c r="Y24" i="1" s="1"/>
  <c r="W25" i="1"/>
  <c r="Y25" i="1" s="1"/>
  <c r="W26" i="1"/>
  <c r="Y26" i="1" s="1"/>
  <c r="W27" i="1"/>
  <c r="Y27" i="1" s="1"/>
  <c r="W28" i="1"/>
  <c r="Y28" i="1" s="1"/>
  <c r="W29" i="1"/>
  <c r="Y29" i="1" s="1"/>
  <c r="W30" i="1"/>
  <c r="Y30" i="1" s="1"/>
  <c r="W31" i="1"/>
  <c r="Y31" i="1" s="1"/>
  <c r="W32" i="1"/>
  <c r="Y32" i="1" s="1"/>
  <c r="W33" i="1"/>
  <c r="Y33" i="1" s="1"/>
  <c r="W34" i="1"/>
  <c r="Y34" i="1" s="1"/>
  <c r="W35" i="1"/>
  <c r="Y35" i="1" s="1"/>
  <c r="W36" i="1"/>
  <c r="Y36" i="1" s="1"/>
  <c r="W37" i="1"/>
  <c r="Y37" i="1" s="1"/>
  <c r="W38" i="1"/>
  <c r="Y38" i="1" s="1"/>
  <c r="W39" i="1"/>
  <c r="Y39" i="1" s="1"/>
  <c r="W40" i="1"/>
  <c r="Y40" i="1" s="1"/>
  <c r="W41" i="1"/>
  <c r="Y41" i="1" s="1"/>
  <c r="W42" i="1"/>
  <c r="Y42" i="1" s="1"/>
  <c r="W43" i="1"/>
  <c r="Y43" i="1" s="1"/>
  <c r="W44" i="1"/>
  <c r="Y44" i="1" s="1"/>
  <c r="W45" i="1"/>
  <c r="Y45" i="1" s="1"/>
  <c r="W46" i="1"/>
  <c r="Y46" i="1" s="1"/>
  <c r="W47" i="1"/>
  <c r="Y47" i="1" s="1"/>
  <c r="W48" i="1"/>
  <c r="Y48" i="1" s="1"/>
  <c r="W49" i="1"/>
  <c r="Y49" i="1" s="1"/>
  <c r="W50" i="1"/>
  <c r="Y50" i="1" s="1"/>
  <c r="W51" i="1"/>
  <c r="Y51" i="1" s="1"/>
  <c r="W52" i="1"/>
  <c r="Y52" i="1" s="1"/>
  <c r="W53" i="1"/>
  <c r="Y53" i="1" s="1"/>
  <c r="W54" i="1"/>
  <c r="Y54" i="1" s="1"/>
  <c r="W55" i="1"/>
  <c r="Y55" i="1" s="1"/>
  <c r="W56" i="1"/>
  <c r="Y56" i="1" s="1"/>
  <c r="W57" i="1"/>
  <c r="Y57" i="1" s="1"/>
  <c r="W58" i="1"/>
  <c r="Y58" i="1" s="1"/>
  <c r="W59" i="1"/>
  <c r="Y59" i="1" s="1"/>
  <c r="W60" i="1"/>
  <c r="Y60" i="1" s="1"/>
  <c r="W61" i="1"/>
  <c r="Y61" i="1" s="1"/>
  <c r="W62" i="1"/>
  <c r="Y62" i="1" s="1"/>
  <c r="W63" i="1"/>
  <c r="Y63" i="1" s="1"/>
  <c r="W64" i="1"/>
  <c r="Y64" i="1" s="1"/>
  <c r="W65" i="1"/>
  <c r="Y65" i="1" s="1"/>
  <c r="W66" i="1"/>
  <c r="Y66" i="1" s="1"/>
  <c r="W67" i="1"/>
  <c r="Y67" i="1" s="1"/>
  <c r="W68" i="1"/>
  <c r="Y68" i="1" s="1"/>
  <c r="W69" i="1"/>
  <c r="Y69" i="1" s="1"/>
  <c r="W70" i="1"/>
  <c r="Y70" i="1" s="1"/>
  <c r="W71" i="1"/>
  <c r="Y71" i="1" s="1"/>
  <c r="W72" i="1"/>
  <c r="Y72" i="1" s="1"/>
  <c r="W73" i="1"/>
  <c r="Y73" i="1" s="1"/>
  <c r="W74" i="1"/>
  <c r="Y74" i="1" s="1"/>
  <c r="W75" i="1"/>
  <c r="Y75" i="1" s="1"/>
  <c r="W76" i="1"/>
  <c r="Y76" i="1" s="1"/>
  <c r="W77" i="1"/>
  <c r="Y77" i="1" s="1"/>
  <c r="W78" i="1"/>
  <c r="Y78" i="1" s="1"/>
  <c r="W79" i="1"/>
  <c r="Y79" i="1" s="1"/>
  <c r="W80" i="1"/>
  <c r="Y80" i="1" s="1"/>
  <c r="W81" i="1"/>
  <c r="Y81" i="1" s="1"/>
  <c r="W82" i="1"/>
  <c r="Y82" i="1" s="1"/>
  <c r="W83" i="1"/>
  <c r="Y83" i="1" s="1"/>
  <c r="W84" i="1"/>
  <c r="Y84" i="1" s="1"/>
  <c r="W85" i="1"/>
  <c r="Y85" i="1" s="1"/>
  <c r="W86" i="1"/>
  <c r="Y86" i="1" s="1"/>
  <c r="W87" i="1"/>
  <c r="Y87" i="1" s="1"/>
  <c r="W88" i="1"/>
  <c r="Y88" i="1" s="1"/>
  <c r="W89" i="1"/>
  <c r="Y89" i="1" s="1"/>
  <c r="W90" i="1"/>
  <c r="Y90" i="1" s="1"/>
  <c r="W91" i="1"/>
  <c r="Y91" i="1" s="1"/>
  <c r="W92" i="1"/>
  <c r="Y92" i="1" s="1"/>
  <c r="W93" i="1"/>
  <c r="Y93" i="1" s="1"/>
  <c r="W94" i="1"/>
  <c r="Y94" i="1" s="1"/>
  <c r="W95" i="1"/>
  <c r="Y95" i="1" s="1"/>
  <c r="W96" i="1"/>
  <c r="Y96" i="1" s="1"/>
  <c r="W97" i="1"/>
  <c r="Y97" i="1" s="1"/>
  <c r="W98" i="1"/>
  <c r="Y98" i="1" s="1"/>
  <c r="W99" i="1"/>
  <c r="Y99" i="1" s="1"/>
  <c r="W100" i="1"/>
  <c r="Y100" i="1" s="1"/>
  <c r="W101" i="1"/>
  <c r="Y101" i="1" s="1"/>
  <c r="W102" i="1"/>
  <c r="Y102" i="1" s="1"/>
  <c r="W103" i="1"/>
  <c r="Y103" i="1" s="1"/>
  <c r="W104" i="1"/>
  <c r="Y104" i="1" s="1"/>
  <c r="W105" i="1"/>
  <c r="Y105" i="1" s="1"/>
  <c r="W106" i="1"/>
  <c r="Y106" i="1" s="1"/>
  <c r="W107" i="1"/>
  <c r="Y107" i="1" s="1"/>
  <c r="W108" i="1"/>
  <c r="Y108" i="1" s="1"/>
  <c r="W109" i="1"/>
  <c r="Y109" i="1" s="1"/>
  <c r="W110" i="1"/>
  <c r="Y110" i="1" s="1"/>
  <c r="W111" i="1"/>
  <c r="Y111" i="1" s="1"/>
  <c r="W112" i="1"/>
  <c r="Y112" i="1" s="1"/>
  <c r="W113" i="1"/>
  <c r="Y113" i="1" s="1"/>
  <c r="W114" i="1"/>
  <c r="Y114" i="1" s="1"/>
  <c r="W115" i="1"/>
  <c r="Y115" i="1" s="1"/>
  <c r="W116" i="1"/>
  <c r="Y116" i="1" s="1"/>
  <c r="W117" i="1"/>
  <c r="Y117" i="1" s="1"/>
  <c r="W118" i="1"/>
  <c r="Y118" i="1" s="1"/>
  <c r="W119" i="1"/>
  <c r="Y119" i="1" s="1"/>
  <c r="W120" i="1"/>
  <c r="Y120" i="1" s="1"/>
  <c r="W121" i="1"/>
  <c r="Y121" i="1" s="1"/>
  <c r="W122" i="1"/>
  <c r="Y122" i="1" s="1"/>
  <c r="W123" i="1"/>
  <c r="Y123" i="1" s="1"/>
  <c r="W124" i="1"/>
  <c r="Y124" i="1" s="1"/>
  <c r="W125" i="1"/>
  <c r="Y125" i="1" s="1"/>
  <c r="W126" i="1"/>
  <c r="Y126" i="1" s="1"/>
  <c r="W127" i="1"/>
  <c r="Y127" i="1" s="1"/>
  <c r="W128" i="1"/>
  <c r="Y128" i="1" s="1"/>
  <c r="W129" i="1"/>
  <c r="Y129" i="1" s="1"/>
  <c r="W130" i="1"/>
  <c r="Y130" i="1" s="1"/>
  <c r="W131" i="1"/>
  <c r="Y131" i="1" s="1"/>
  <c r="W132" i="1"/>
  <c r="Y132" i="1" s="1"/>
  <c r="W133" i="1"/>
  <c r="Y133" i="1" s="1"/>
  <c r="W134" i="1"/>
  <c r="Y134" i="1" s="1"/>
  <c r="W135" i="1"/>
  <c r="Y135" i="1" s="1"/>
  <c r="W136" i="1"/>
  <c r="Y136" i="1" s="1"/>
  <c r="W137" i="1"/>
  <c r="Y137" i="1" s="1"/>
  <c r="W138" i="1"/>
  <c r="Y138" i="1" s="1"/>
  <c r="W139" i="1"/>
  <c r="Y139" i="1" s="1"/>
  <c r="W140" i="1"/>
  <c r="Y140" i="1" s="1"/>
  <c r="W141" i="1"/>
  <c r="Y141" i="1" s="1"/>
  <c r="W142" i="1"/>
  <c r="Y142" i="1" s="1"/>
  <c r="W143" i="1"/>
  <c r="Y143" i="1" s="1"/>
  <c r="W144" i="1"/>
  <c r="Y144" i="1" s="1"/>
  <c r="W145" i="1"/>
  <c r="Y145" i="1" s="1"/>
  <c r="W146" i="1"/>
  <c r="Y146" i="1" s="1"/>
  <c r="W147" i="1"/>
  <c r="Y147" i="1" s="1"/>
  <c r="W148" i="1"/>
  <c r="Y148" i="1" s="1"/>
  <c r="W149" i="1"/>
  <c r="Y149" i="1" s="1"/>
  <c r="W150" i="1"/>
  <c r="Y150" i="1" s="1"/>
  <c r="W151" i="1"/>
  <c r="Y151" i="1" s="1"/>
  <c r="W152" i="1"/>
  <c r="Y152" i="1" s="1"/>
  <c r="W153" i="1"/>
  <c r="Y153" i="1" s="1"/>
  <c r="W154" i="1"/>
  <c r="Y154" i="1" s="1"/>
  <c r="W155" i="1"/>
  <c r="Y155" i="1" s="1"/>
  <c r="W156" i="1"/>
  <c r="Y156" i="1" s="1"/>
  <c r="W157" i="1"/>
  <c r="Y157" i="1" s="1"/>
  <c r="W158" i="1"/>
  <c r="Y158" i="1" s="1"/>
  <c r="W159" i="1"/>
  <c r="Y159" i="1" s="1"/>
  <c r="W160" i="1"/>
  <c r="Y160" i="1" s="1"/>
  <c r="W161" i="1"/>
  <c r="Y161" i="1" s="1"/>
  <c r="W162" i="1"/>
  <c r="Y162" i="1" s="1"/>
  <c r="W163" i="1"/>
  <c r="Y163" i="1" s="1"/>
  <c r="W164" i="1"/>
  <c r="Y164" i="1" s="1"/>
  <c r="W165" i="1"/>
  <c r="Y165" i="1" s="1"/>
  <c r="W166" i="1"/>
  <c r="Y166" i="1" s="1"/>
  <c r="W167" i="1"/>
  <c r="Y167" i="1" s="1"/>
  <c r="W168" i="1"/>
  <c r="Y168" i="1" s="1"/>
  <c r="W169" i="1"/>
  <c r="Y169" i="1" s="1"/>
  <c r="W170" i="1"/>
  <c r="Y170" i="1" s="1"/>
  <c r="W172" i="1"/>
  <c r="Y172" i="1" s="1"/>
  <c r="W173" i="1"/>
  <c r="Y173" i="1" s="1"/>
  <c r="W174" i="1"/>
  <c r="Y174" i="1" s="1"/>
  <c r="W176" i="1"/>
  <c r="Y176" i="1" s="1"/>
  <c r="W177" i="1"/>
  <c r="Y177" i="1" s="1"/>
  <c r="W178" i="1"/>
  <c r="Y178" i="1" s="1"/>
  <c r="W180" i="1"/>
  <c r="Y180" i="1" s="1"/>
  <c r="W181" i="1"/>
  <c r="Y181" i="1" s="1"/>
  <c r="W182" i="1"/>
  <c r="Y182" i="1" s="1"/>
  <c r="W184" i="1"/>
  <c r="Y184" i="1" s="1"/>
  <c r="W185" i="1"/>
  <c r="Y185" i="1" s="1"/>
  <c r="W186" i="1"/>
  <c r="Y186" i="1" s="1"/>
  <c r="W188" i="1"/>
  <c r="Y188" i="1" s="1"/>
  <c r="W189" i="1"/>
  <c r="Y189" i="1" s="1"/>
  <c r="W190" i="1"/>
  <c r="Y190" i="1" s="1"/>
  <c r="W192" i="1"/>
  <c r="Y192" i="1" s="1"/>
  <c r="W193" i="1"/>
  <c r="Y193" i="1" s="1"/>
  <c r="W194" i="1"/>
  <c r="Y194" i="1" s="1"/>
  <c r="W196" i="1"/>
  <c r="Y196" i="1" s="1"/>
  <c r="W197" i="1"/>
  <c r="Y197" i="1" s="1"/>
  <c r="W198" i="1"/>
  <c r="Y198" i="1" s="1"/>
  <c r="W200" i="1"/>
  <c r="Y200" i="1" s="1"/>
  <c r="W201" i="1"/>
  <c r="Y201" i="1" s="1"/>
  <c r="W202" i="1"/>
  <c r="Y202" i="1" s="1"/>
  <c r="W204" i="1"/>
  <c r="Y204" i="1" s="1"/>
  <c r="W205" i="1"/>
  <c r="Y205" i="1" s="1"/>
  <c r="W206" i="1"/>
  <c r="Y206" i="1" s="1"/>
  <c r="W208" i="1"/>
  <c r="Y208" i="1" s="1"/>
  <c r="W209" i="1"/>
  <c r="Y209" i="1" s="1"/>
  <c r="W210" i="1"/>
  <c r="Y210" i="1" s="1"/>
  <c r="W212" i="1"/>
  <c r="Y212" i="1" s="1"/>
  <c r="W213" i="1"/>
  <c r="Y213" i="1" s="1"/>
  <c r="W3" i="1"/>
  <c r="Y3" i="1" s="1"/>
  <c r="Q117" i="1"/>
  <c r="S117" i="1" s="1"/>
  <c r="Q124" i="1"/>
  <c r="S124" i="1" s="1"/>
  <c r="Q140" i="1"/>
  <c r="S140" i="1" s="1"/>
  <c r="Q156" i="1"/>
  <c r="S156" i="1" s="1"/>
  <c r="J5" i="1"/>
  <c r="L5" i="1" s="1"/>
  <c r="J6" i="1"/>
  <c r="L6" i="1" s="1"/>
  <c r="J8" i="1"/>
  <c r="L8" i="1" s="1"/>
  <c r="J9" i="1"/>
  <c r="L9" i="1" s="1"/>
  <c r="J10" i="1"/>
  <c r="L10" i="1" s="1"/>
  <c r="J12" i="1"/>
  <c r="L12" i="1" s="1"/>
  <c r="J13" i="1"/>
  <c r="L13" i="1" s="1"/>
  <c r="J14" i="1"/>
  <c r="L14" i="1" s="1"/>
  <c r="J16" i="1"/>
  <c r="L16" i="1" s="1"/>
  <c r="J17" i="1"/>
  <c r="L17" i="1" s="1"/>
  <c r="J18" i="1"/>
  <c r="L18" i="1" s="1"/>
  <c r="J20" i="1"/>
  <c r="L20" i="1" s="1"/>
  <c r="J21" i="1"/>
  <c r="L21" i="1" s="1"/>
  <c r="J22" i="1"/>
  <c r="L22" i="1" s="1"/>
  <c r="J24" i="1"/>
  <c r="L24" i="1" s="1"/>
  <c r="J25" i="1"/>
  <c r="L25" i="1" s="1"/>
  <c r="J26" i="1"/>
  <c r="L26" i="1" s="1"/>
  <c r="J28" i="1"/>
  <c r="L28" i="1" s="1"/>
  <c r="J29" i="1"/>
  <c r="L29" i="1" s="1"/>
  <c r="J30" i="1"/>
  <c r="L30" i="1" s="1"/>
  <c r="J32" i="1"/>
  <c r="L32" i="1" s="1"/>
  <c r="J33" i="1"/>
  <c r="L33" i="1" s="1"/>
  <c r="J34" i="1"/>
  <c r="L34" i="1" s="1"/>
  <c r="J37" i="1"/>
  <c r="L37" i="1" s="1"/>
  <c r="J38" i="1"/>
  <c r="L38" i="1" s="1"/>
  <c r="J41" i="1"/>
  <c r="L41" i="1" s="1"/>
  <c r="J42" i="1"/>
  <c r="L42" i="1" s="1"/>
  <c r="J43" i="1"/>
  <c r="L43" i="1" s="1"/>
  <c r="J45" i="1"/>
  <c r="L45" i="1" s="1"/>
  <c r="J46" i="1"/>
  <c r="L46" i="1" s="1"/>
  <c r="J47" i="1"/>
  <c r="L47" i="1" s="1"/>
  <c r="J49" i="1"/>
  <c r="L49" i="1" s="1"/>
  <c r="J50" i="1"/>
  <c r="L50" i="1" s="1"/>
  <c r="J53" i="1"/>
  <c r="L53" i="1" s="1"/>
  <c r="J54" i="1"/>
  <c r="L54" i="1" s="1"/>
  <c r="J57" i="1"/>
  <c r="L57" i="1" s="1"/>
  <c r="J58" i="1"/>
  <c r="L58" i="1" s="1"/>
  <c r="J59" i="1"/>
  <c r="L59" i="1" s="1"/>
  <c r="J61" i="1"/>
  <c r="L61" i="1" s="1"/>
  <c r="J62" i="1"/>
  <c r="L62" i="1" s="1"/>
  <c r="J63" i="1"/>
  <c r="L63" i="1" s="1"/>
  <c r="J65" i="1"/>
  <c r="L65" i="1" s="1"/>
  <c r="J66" i="1"/>
  <c r="L66" i="1" s="1"/>
  <c r="J69" i="1"/>
  <c r="L69" i="1" s="1"/>
  <c r="J70" i="1"/>
  <c r="L70" i="1" s="1"/>
  <c r="J73" i="1"/>
  <c r="L73" i="1" s="1"/>
  <c r="J75" i="1"/>
  <c r="L75" i="1" s="1"/>
  <c r="J77" i="1"/>
  <c r="L77" i="1" s="1"/>
  <c r="J78" i="1"/>
  <c r="L78" i="1" s="1"/>
  <c r="J79" i="1"/>
  <c r="L79" i="1" s="1"/>
  <c r="J81" i="1"/>
  <c r="L81" i="1" s="1"/>
  <c r="J85" i="1"/>
  <c r="L85" i="1" s="1"/>
  <c r="J86" i="1"/>
  <c r="L86" i="1" s="1"/>
  <c r="J89" i="1"/>
  <c r="L89" i="1" s="1"/>
  <c r="J90" i="1"/>
  <c r="L90" i="1" s="1"/>
  <c r="J91" i="1"/>
  <c r="L91" i="1" s="1"/>
  <c r="J93" i="1"/>
  <c r="L93" i="1" s="1"/>
  <c r="J94" i="1"/>
  <c r="L94" i="1" s="1"/>
  <c r="J95" i="1"/>
  <c r="L95" i="1" s="1"/>
  <c r="J97" i="1"/>
  <c r="L97" i="1" s="1"/>
  <c r="J101" i="1"/>
  <c r="L101" i="1" s="1"/>
  <c r="J102" i="1"/>
  <c r="L102" i="1" s="1"/>
  <c r="J105" i="1"/>
  <c r="L105" i="1" s="1"/>
  <c r="J106" i="1"/>
  <c r="L106" i="1" s="1"/>
  <c r="J107" i="1"/>
  <c r="L107" i="1" s="1"/>
  <c r="J109" i="1"/>
  <c r="L109" i="1" s="1"/>
  <c r="J110" i="1"/>
  <c r="L110" i="1" s="1"/>
  <c r="J111" i="1"/>
  <c r="L111" i="1" s="1"/>
  <c r="J113" i="1"/>
  <c r="L113" i="1" s="1"/>
  <c r="J117" i="1"/>
  <c r="L117" i="1" s="1"/>
  <c r="J118" i="1"/>
  <c r="L118" i="1" s="1"/>
  <c r="J120" i="1"/>
  <c r="L120" i="1" s="1"/>
  <c r="J121" i="1"/>
  <c r="L121" i="1" s="1"/>
  <c r="J122" i="1"/>
  <c r="L122" i="1" s="1"/>
  <c r="J125" i="1"/>
  <c r="L125" i="1" s="1"/>
  <c r="J126" i="1"/>
  <c r="L126" i="1" s="1"/>
  <c r="J129" i="1"/>
  <c r="L129" i="1" s="1"/>
  <c r="J133" i="1"/>
  <c r="L133" i="1" s="1"/>
  <c r="J134" i="1"/>
  <c r="L134" i="1" s="1"/>
  <c r="J137" i="1"/>
  <c r="L137" i="1" s="1"/>
  <c r="J138" i="1"/>
  <c r="L138" i="1" s="1"/>
  <c r="J141" i="1"/>
  <c r="L141" i="1" s="1"/>
  <c r="J145" i="1"/>
  <c r="L145" i="1" s="1"/>
  <c r="J146" i="1"/>
  <c r="L146" i="1" s="1"/>
  <c r="J149" i="1"/>
  <c r="L149" i="1" s="1"/>
  <c r="J150" i="1"/>
  <c r="L150" i="1" s="1"/>
  <c r="J153" i="1"/>
  <c r="L153" i="1" s="1"/>
  <c r="J157" i="1"/>
  <c r="L157" i="1" s="1"/>
  <c r="J158" i="1"/>
  <c r="L158" i="1" s="1"/>
  <c r="J161" i="1"/>
  <c r="L161" i="1" s="1"/>
  <c r="J162" i="1"/>
  <c r="L162" i="1" s="1"/>
  <c r="J164" i="1"/>
  <c r="L164" i="1" s="1"/>
  <c r="J165" i="1"/>
  <c r="L165" i="1" s="1"/>
  <c r="J166" i="1"/>
  <c r="L166" i="1" s="1"/>
  <c r="J169" i="1"/>
  <c r="L169" i="1" s="1"/>
  <c r="J170" i="1"/>
  <c r="L170" i="1" s="1"/>
  <c r="J173" i="1"/>
  <c r="L173" i="1" s="1"/>
  <c r="J174" i="1"/>
  <c r="L174" i="1" s="1"/>
  <c r="J176" i="1"/>
  <c r="L176" i="1" s="1"/>
  <c r="J177" i="1"/>
  <c r="L177" i="1" s="1"/>
  <c r="J178" i="1"/>
  <c r="L178" i="1" s="1"/>
  <c r="J182" i="1"/>
  <c r="L182" i="1" s="1"/>
  <c r="J185" i="1"/>
  <c r="L185" i="1" s="1"/>
  <c r="I4" i="1"/>
  <c r="K4" i="1" s="1"/>
  <c r="I5" i="1"/>
  <c r="K5" i="1" s="1"/>
  <c r="I6" i="1"/>
  <c r="K6" i="1" s="1"/>
  <c r="I7" i="1"/>
  <c r="K7" i="1" s="1"/>
  <c r="I8" i="1"/>
  <c r="K8" i="1" s="1"/>
  <c r="I9" i="1"/>
  <c r="K9" i="1" s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K17" i="1" s="1"/>
  <c r="I18" i="1"/>
  <c r="K18" i="1" s="1"/>
  <c r="I19" i="1"/>
  <c r="K19" i="1" s="1"/>
  <c r="I20" i="1"/>
  <c r="K20" i="1" s="1"/>
  <c r="I21" i="1"/>
  <c r="K21" i="1" s="1"/>
  <c r="I22" i="1"/>
  <c r="K22" i="1" s="1"/>
  <c r="I23" i="1"/>
  <c r="K23" i="1" s="1"/>
  <c r="I24" i="1"/>
  <c r="K24" i="1" s="1"/>
  <c r="I25" i="1"/>
  <c r="K25" i="1" s="1"/>
  <c r="I26" i="1"/>
  <c r="K26" i="1" s="1"/>
  <c r="I27" i="1"/>
  <c r="K27" i="1" s="1"/>
  <c r="I28" i="1"/>
  <c r="K28" i="1" s="1"/>
  <c r="I29" i="1"/>
  <c r="K29" i="1" s="1"/>
  <c r="I30" i="1"/>
  <c r="K30" i="1" s="1"/>
  <c r="I31" i="1"/>
  <c r="K31" i="1" s="1"/>
  <c r="I32" i="1"/>
  <c r="K32" i="1" s="1"/>
  <c r="I33" i="1"/>
  <c r="K33" i="1" s="1"/>
  <c r="I34" i="1"/>
  <c r="K34" i="1" s="1"/>
  <c r="I35" i="1"/>
  <c r="K35" i="1" s="1"/>
  <c r="I36" i="1"/>
  <c r="K36" i="1" s="1"/>
  <c r="I37" i="1"/>
  <c r="K37" i="1" s="1"/>
  <c r="I38" i="1"/>
  <c r="K38" i="1" s="1"/>
  <c r="I39" i="1"/>
  <c r="K39" i="1" s="1"/>
  <c r="I40" i="1"/>
  <c r="K40" i="1" s="1"/>
  <c r="I41" i="1"/>
  <c r="K41" i="1" s="1"/>
  <c r="I42" i="1"/>
  <c r="K42" i="1" s="1"/>
  <c r="I43" i="1"/>
  <c r="K43" i="1" s="1"/>
  <c r="I44" i="1"/>
  <c r="K44" i="1" s="1"/>
  <c r="I45" i="1"/>
  <c r="K45" i="1" s="1"/>
  <c r="I46" i="1"/>
  <c r="K46" i="1" s="1"/>
  <c r="I47" i="1"/>
  <c r="K47" i="1" s="1"/>
  <c r="I48" i="1"/>
  <c r="K48" i="1" s="1"/>
  <c r="I49" i="1"/>
  <c r="K49" i="1" s="1"/>
  <c r="I50" i="1"/>
  <c r="K50" i="1" s="1"/>
  <c r="I51" i="1"/>
  <c r="K51" i="1" s="1"/>
  <c r="I52" i="1"/>
  <c r="K52" i="1" s="1"/>
  <c r="I53" i="1"/>
  <c r="K53" i="1" s="1"/>
  <c r="I54" i="1"/>
  <c r="K54" i="1" s="1"/>
  <c r="I55" i="1"/>
  <c r="K55" i="1" s="1"/>
  <c r="I56" i="1"/>
  <c r="K56" i="1" s="1"/>
  <c r="I57" i="1"/>
  <c r="K57" i="1" s="1"/>
  <c r="I58" i="1"/>
  <c r="K58" i="1" s="1"/>
  <c r="I59" i="1"/>
  <c r="K59" i="1" s="1"/>
  <c r="I60" i="1"/>
  <c r="K60" i="1" s="1"/>
  <c r="I61" i="1"/>
  <c r="K61" i="1" s="1"/>
  <c r="I62" i="1"/>
  <c r="K62" i="1" s="1"/>
  <c r="I63" i="1"/>
  <c r="K63" i="1" s="1"/>
  <c r="I64" i="1"/>
  <c r="K64" i="1" s="1"/>
  <c r="I65" i="1"/>
  <c r="K65" i="1" s="1"/>
  <c r="I66" i="1"/>
  <c r="K66" i="1" s="1"/>
  <c r="I67" i="1"/>
  <c r="K67" i="1" s="1"/>
  <c r="I68" i="1"/>
  <c r="K68" i="1" s="1"/>
  <c r="I69" i="1"/>
  <c r="K69" i="1" s="1"/>
  <c r="I70" i="1"/>
  <c r="K70" i="1" s="1"/>
  <c r="I71" i="1"/>
  <c r="K71" i="1" s="1"/>
  <c r="I72" i="1"/>
  <c r="K72" i="1" s="1"/>
  <c r="I73" i="1"/>
  <c r="K73" i="1" s="1"/>
  <c r="I74" i="1"/>
  <c r="K74" i="1" s="1"/>
  <c r="I75" i="1"/>
  <c r="K75" i="1" s="1"/>
  <c r="I76" i="1"/>
  <c r="K76" i="1" s="1"/>
  <c r="I77" i="1"/>
  <c r="K77" i="1" s="1"/>
  <c r="I78" i="1"/>
  <c r="K78" i="1" s="1"/>
  <c r="I79" i="1"/>
  <c r="K79" i="1" s="1"/>
  <c r="I80" i="1"/>
  <c r="K80" i="1" s="1"/>
  <c r="I81" i="1"/>
  <c r="K81" i="1" s="1"/>
  <c r="I82" i="1"/>
  <c r="K82" i="1" s="1"/>
  <c r="I83" i="1"/>
  <c r="K83" i="1" s="1"/>
  <c r="I84" i="1"/>
  <c r="K84" i="1" s="1"/>
  <c r="I85" i="1"/>
  <c r="K85" i="1" s="1"/>
  <c r="I86" i="1"/>
  <c r="K86" i="1" s="1"/>
  <c r="I87" i="1"/>
  <c r="K87" i="1" s="1"/>
  <c r="I88" i="1"/>
  <c r="K88" i="1" s="1"/>
  <c r="I89" i="1"/>
  <c r="K89" i="1" s="1"/>
  <c r="I90" i="1"/>
  <c r="K90" i="1" s="1"/>
  <c r="I91" i="1"/>
  <c r="K91" i="1" s="1"/>
  <c r="I92" i="1"/>
  <c r="K92" i="1" s="1"/>
  <c r="I93" i="1"/>
  <c r="K93" i="1" s="1"/>
  <c r="I94" i="1"/>
  <c r="K94" i="1" s="1"/>
  <c r="I95" i="1"/>
  <c r="K95" i="1" s="1"/>
  <c r="I96" i="1"/>
  <c r="K96" i="1" s="1"/>
  <c r="I97" i="1"/>
  <c r="K97" i="1" s="1"/>
  <c r="I98" i="1"/>
  <c r="K98" i="1" s="1"/>
  <c r="I99" i="1"/>
  <c r="K99" i="1" s="1"/>
  <c r="I100" i="1"/>
  <c r="K100" i="1" s="1"/>
  <c r="I101" i="1"/>
  <c r="K101" i="1" s="1"/>
  <c r="I102" i="1"/>
  <c r="K102" i="1" s="1"/>
  <c r="I103" i="1"/>
  <c r="K103" i="1" s="1"/>
  <c r="I104" i="1"/>
  <c r="K104" i="1" s="1"/>
  <c r="I105" i="1"/>
  <c r="K105" i="1" s="1"/>
  <c r="I106" i="1"/>
  <c r="K106" i="1" s="1"/>
  <c r="I107" i="1"/>
  <c r="K107" i="1" s="1"/>
  <c r="I108" i="1"/>
  <c r="K108" i="1" s="1"/>
  <c r="I109" i="1"/>
  <c r="K109" i="1" s="1"/>
  <c r="I110" i="1"/>
  <c r="K110" i="1" s="1"/>
  <c r="I111" i="1"/>
  <c r="K111" i="1" s="1"/>
  <c r="I112" i="1"/>
  <c r="K112" i="1" s="1"/>
  <c r="I113" i="1"/>
  <c r="K113" i="1" s="1"/>
  <c r="I114" i="1"/>
  <c r="K114" i="1" s="1"/>
  <c r="I115" i="1"/>
  <c r="K115" i="1" s="1"/>
  <c r="I116" i="1"/>
  <c r="K116" i="1" s="1"/>
  <c r="I117" i="1"/>
  <c r="K117" i="1" s="1"/>
  <c r="I118" i="1"/>
  <c r="K118" i="1" s="1"/>
  <c r="I119" i="1"/>
  <c r="K119" i="1" s="1"/>
  <c r="I120" i="1"/>
  <c r="K120" i="1" s="1"/>
  <c r="I121" i="1"/>
  <c r="K121" i="1" s="1"/>
  <c r="I122" i="1"/>
  <c r="K122" i="1" s="1"/>
  <c r="I123" i="1"/>
  <c r="K123" i="1" s="1"/>
  <c r="I124" i="1"/>
  <c r="K124" i="1" s="1"/>
  <c r="I125" i="1"/>
  <c r="K125" i="1" s="1"/>
  <c r="I126" i="1"/>
  <c r="K126" i="1" s="1"/>
  <c r="I127" i="1"/>
  <c r="K127" i="1" s="1"/>
  <c r="I128" i="1"/>
  <c r="K128" i="1" s="1"/>
  <c r="I129" i="1"/>
  <c r="K129" i="1" s="1"/>
  <c r="I130" i="1"/>
  <c r="K130" i="1" s="1"/>
  <c r="I131" i="1"/>
  <c r="K131" i="1" s="1"/>
  <c r="I132" i="1"/>
  <c r="K132" i="1" s="1"/>
  <c r="I133" i="1"/>
  <c r="K133" i="1" s="1"/>
  <c r="I134" i="1"/>
  <c r="K134" i="1" s="1"/>
  <c r="I135" i="1"/>
  <c r="K135" i="1" s="1"/>
  <c r="I136" i="1"/>
  <c r="K136" i="1" s="1"/>
  <c r="I137" i="1"/>
  <c r="K137" i="1" s="1"/>
  <c r="I138" i="1"/>
  <c r="K138" i="1" s="1"/>
  <c r="I139" i="1"/>
  <c r="K139" i="1" s="1"/>
  <c r="I140" i="1"/>
  <c r="K140" i="1" s="1"/>
  <c r="I141" i="1"/>
  <c r="K141" i="1" s="1"/>
  <c r="I142" i="1"/>
  <c r="K142" i="1" s="1"/>
  <c r="I143" i="1"/>
  <c r="K143" i="1" s="1"/>
  <c r="I144" i="1"/>
  <c r="K144" i="1" s="1"/>
  <c r="I145" i="1"/>
  <c r="K145" i="1" s="1"/>
  <c r="I146" i="1"/>
  <c r="K146" i="1" s="1"/>
  <c r="I147" i="1"/>
  <c r="K147" i="1" s="1"/>
  <c r="I148" i="1"/>
  <c r="K148" i="1" s="1"/>
  <c r="I149" i="1"/>
  <c r="K149" i="1" s="1"/>
  <c r="I150" i="1"/>
  <c r="K150" i="1" s="1"/>
  <c r="I151" i="1"/>
  <c r="K151" i="1" s="1"/>
  <c r="I152" i="1"/>
  <c r="K152" i="1" s="1"/>
  <c r="I153" i="1"/>
  <c r="K153" i="1" s="1"/>
  <c r="I154" i="1"/>
  <c r="K154" i="1" s="1"/>
  <c r="I155" i="1"/>
  <c r="K155" i="1" s="1"/>
  <c r="I156" i="1"/>
  <c r="K156" i="1" s="1"/>
  <c r="I157" i="1"/>
  <c r="K157" i="1" s="1"/>
  <c r="I158" i="1"/>
  <c r="K158" i="1" s="1"/>
  <c r="I159" i="1"/>
  <c r="K159" i="1" s="1"/>
  <c r="I160" i="1"/>
  <c r="K160" i="1" s="1"/>
  <c r="I161" i="1"/>
  <c r="K161" i="1" s="1"/>
  <c r="I162" i="1"/>
  <c r="K162" i="1" s="1"/>
  <c r="I163" i="1"/>
  <c r="K163" i="1" s="1"/>
  <c r="I164" i="1"/>
  <c r="K164" i="1" s="1"/>
  <c r="I165" i="1"/>
  <c r="K165" i="1" s="1"/>
  <c r="I166" i="1"/>
  <c r="K166" i="1" s="1"/>
  <c r="I167" i="1"/>
  <c r="K167" i="1" s="1"/>
  <c r="I168" i="1"/>
  <c r="K168" i="1" s="1"/>
  <c r="I169" i="1"/>
  <c r="K169" i="1" s="1"/>
  <c r="I170" i="1"/>
  <c r="K170" i="1" s="1"/>
  <c r="I171" i="1"/>
  <c r="K171" i="1" s="1"/>
  <c r="I172" i="1"/>
  <c r="K172" i="1" s="1"/>
  <c r="I173" i="1"/>
  <c r="K173" i="1" s="1"/>
  <c r="I174" i="1"/>
  <c r="K174" i="1" s="1"/>
  <c r="I175" i="1"/>
  <c r="K175" i="1" s="1"/>
  <c r="I176" i="1"/>
  <c r="K176" i="1" s="1"/>
  <c r="I177" i="1"/>
  <c r="K177" i="1" s="1"/>
  <c r="I178" i="1"/>
  <c r="K178" i="1" s="1"/>
  <c r="I179" i="1"/>
  <c r="K179" i="1" s="1"/>
  <c r="I180" i="1"/>
  <c r="K180" i="1" s="1"/>
  <c r="I181" i="1"/>
  <c r="K181" i="1" s="1"/>
  <c r="I182" i="1"/>
  <c r="K182" i="1" s="1"/>
  <c r="I183" i="1"/>
  <c r="K183" i="1" s="1"/>
  <c r="I184" i="1"/>
  <c r="K184" i="1" s="1"/>
  <c r="I185" i="1"/>
  <c r="K185" i="1" s="1"/>
  <c r="I186" i="1"/>
  <c r="K186" i="1" s="1"/>
  <c r="I187" i="1"/>
  <c r="K187" i="1" s="1"/>
  <c r="I188" i="1"/>
  <c r="K188" i="1" s="1"/>
  <c r="I189" i="1"/>
  <c r="K189" i="1" s="1"/>
  <c r="I190" i="1"/>
  <c r="K190" i="1" s="1"/>
  <c r="I191" i="1"/>
  <c r="K191" i="1" s="1"/>
  <c r="I192" i="1"/>
  <c r="K192" i="1" s="1"/>
  <c r="I193" i="1"/>
  <c r="K193" i="1" s="1"/>
  <c r="I194" i="1"/>
  <c r="K194" i="1" s="1"/>
  <c r="I195" i="1"/>
  <c r="K195" i="1" s="1"/>
  <c r="I196" i="1"/>
  <c r="K196" i="1" s="1"/>
  <c r="I197" i="1"/>
  <c r="K197" i="1" s="1"/>
  <c r="I198" i="1"/>
  <c r="K198" i="1" s="1"/>
  <c r="I199" i="1"/>
  <c r="K199" i="1" s="1"/>
  <c r="I200" i="1"/>
  <c r="K200" i="1" s="1"/>
  <c r="I201" i="1"/>
  <c r="K201" i="1" s="1"/>
  <c r="I202" i="1"/>
  <c r="K202" i="1" s="1"/>
  <c r="I203" i="1"/>
  <c r="K203" i="1" s="1"/>
  <c r="I204" i="1"/>
  <c r="K204" i="1" s="1"/>
  <c r="I205" i="1"/>
  <c r="K205" i="1" s="1"/>
  <c r="I206" i="1"/>
  <c r="K206" i="1" s="1"/>
  <c r="I207" i="1"/>
  <c r="K207" i="1" s="1"/>
  <c r="I208" i="1"/>
  <c r="K208" i="1" s="1"/>
  <c r="I209" i="1"/>
  <c r="K209" i="1" s="1"/>
  <c r="I210" i="1"/>
  <c r="K210" i="1" s="1"/>
  <c r="I211" i="1"/>
  <c r="K211" i="1" s="1"/>
  <c r="I212" i="1"/>
  <c r="K212" i="1" s="1"/>
  <c r="I213" i="1"/>
  <c r="K213" i="1" s="1"/>
  <c r="P213" i="1"/>
  <c r="R213" i="1" s="1"/>
  <c r="P212" i="1"/>
  <c r="R212" i="1" s="1"/>
  <c r="P211" i="1"/>
  <c r="R211" i="1" s="1"/>
  <c r="P210" i="1"/>
  <c r="R210" i="1" s="1"/>
  <c r="P209" i="1"/>
  <c r="R209" i="1" s="1"/>
  <c r="P208" i="1"/>
  <c r="R208" i="1" s="1"/>
  <c r="P207" i="1"/>
  <c r="R207" i="1" s="1"/>
  <c r="P206" i="1"/>
  <c r="R206" i="1" s="1"/>
  <c r="P205" i="1"/>
  <c r="R205" i="1" s="1"/>
  <c r="P204" i="1"/>
  <c r="R204" i="1" s="1"/>
  <c r="P203" i="1"/>
  <c r="R203" i="1" s="1"/>
  <c r="P202" i="1"/>
  <c r="R202" i="1" s="1"/>
  <c r="P201" i="1"/>
  <c r="R201" i="1" s="1"/>
  <c r="P200" i="1"/>
  <c r="R200" i="1" s="1"/>
  <c r="P199" i="1"/>
  <c r="R199" i="1" s="1"/>
  <c r="P198" i="1"/>
  <c r="R198" i="1" s="1"/>
  <c r="P197" i="1"/>
  <c r="R197" i="1" s="1"/>
  <c r="P196" i="1"/>
  <c r="R196" i="1" s="1"/>
  <c r="P195" i="1"/>
  <c r="R195" i="1" s="1"/>
  <c r="P194" i="1"/>
  <c r="R194" i="1" s="1"/>
  <c r="P193" i="1"/>
  <c r="R193" i="1" s="1"/>
  <c r="P192" i="1"/>
  <c r="R192" i="1" s="1"/>
  <c r="P191" i="1"/>
  <c r="R191" i="1" s="1"/>
  <c r="P190" i="1"/>
  <c r="R190" i="1" s="1"/>
  <c r="P189" i="1"/>
  <c r="R189" i="1" s="1"/>
  <c r="P188" i="1"/>
  <c r="R188" i="1" s="1"/>
  <c r="P187" i="1"/>
  <c r="R187" i="1" s="1"/>
  <c r="P186" i="1"/>
  <c r="R186" i="1" s="1"/>
  <c r="P185" i="1"/>
  <c r="R185" i="1" s="1"/>
  <c r="P184" i="1"/>
  <c r="R184" i="1" s="1"/>
  <c r="P183" i="1"/>
  <c r="R183" i="1" s="1"/>
  <c r="P182" i="1"/>
  <c r="R182" i="1" s="1"/>
  <c r="P181" i="1"/>
  <c r="R181" i="1" s="1"/>
  <c r="P180" i="1"/>
  <c r="R180" i="1" s="1"/>
  <c r="P179" i="1"/>
  <c r="R179" i="1" s="1"/>
  <c r="P178" i="1"/>
  <c r="R178" i="1" s="1"/>
  <c r="P177" i="1"/>
  <c r="R177" i="1" s="1"/>
  <c r="P176" i="1"/>
  <c r="R176" i="1" s="1"/>
  <c r="P175" i="1"/>
  <c r="R175" i="1" s="1"/>
  <c r="P174" i="1"/>
  <c r="R174" i="1" s="1"/>
  <c r="P173" i="1"/>
  <c r="R173" i="1" s="1"/>
  <c r="P172" i="1"/>
  <c r="R172" i="1" s="1"/>
  <c r="P171" i="1"/>
  <c r="R171" i="1" s="1"/>
  <c r="P170" i="1"/>
  <c r="R170" i="1" s="1"/>
  <c r="Q169" i="1"/>
  <c r="S169" i="1" s="1"/>
  <c r="P169" i="1"/>
  <c r="R169" i="1" s="1"/>
  <c r="P168" i="1"/>
  <c r="R168" i="1" s="1"/>
  <c r="P167" i="1"/>
  <c r="R167" i="1" s="1"/>
  <c r="P166" i="1"/>
  <c r="R166" i="1" s="1"/>
  <c r="P165" i="1"/>
  <c r="R165" i="1" s="1"/>
  <c r="P164" i="1"/>
  <c r="R164" i="1" s="1"/>
  <c r="P163" i="1"/>
  <c r="R163" i="1" s="1"/>
  <c r="P162" i="1"/>
  <c r="R162" i="1" s="1"/>
  <c r="P161" i="1"/>
  <c r="R161" i="1" s="1"/>
  <c r="P160" i="1"/>
  <c r="R160" i="1" s="1"/>
  <c r="P159" i="1"/>
  <c r="R159" i="1" s="1"/>
  <c r="P158" i="1"/>
  <c r="R158" i="1" s="1"/>
  <c r="P157" i="1"/>
  <c r="R157" i="1" s="1"/>
  <c r="P156" i="1"/>
  <c r="R156" i="1" s="1"/>
  <c r="P155" i="1"/>
  <c r="R155" i="1" s="1"/>
  <c r="P154" i="1"/>
  <c r="R154" i="1" s="1"/>
  <c r="Q153" i="1"/>
  <c r="S153" i="1" s="1"/>
  <c r="P153" i="1"/>
  <c r="R153" i="1" s="1"/>
  <c r="P152" i="1"/>
  <c r="R152" i="1" s="1"/>
  <c r="P151" i="1"/>
  <c r="R151" i="1" s="1"/>
  <c r="P150" i="1"/>
  <c r="R150" i="1" s="1"/>
  <c r="P149" i="1"/>
  <c r="R149" i="1" s="1"/>
  <c r="P148" i="1"/>
  <c r="R148" i="1" s="1"/>
  <c r="P147" i="1"/>
  <c r="R147" i="1" s="1"/>
  <c r="Q146" i="1"/>
  <c r="S146" i="1" s="1"/>
  <c r="P146" i="1"/>
  <c r="R146" i="1" s="1"/>
  <c r="P145" i="1"/>
  <c r="R145" i="1" s="1"/>
  <c r="P144" i="1"/>
  <c r="R144" i="1" s="1"/>
  <c r="P143" i="1"/>
  <c r="R143" i="1" s="1"/>
  <c r="P142" i="1"/>
  <c r="R142" i="1" s="1"/>
  <c r="P141" i="1"/>
  <c r="R141" i="1" s="1"/>
  <c r="P140" i="1"/>
  <c r="R140" i="1" s="1"/>
  <c r="P139" i="1"/>
  <c r="R139" i="1" s="1"/>
  <c r="P138" i="1"/>
  <c r="R138" i="1" s="1"/>
  <c r="P137" i="1"/>
  <c r="R137" i="1" s="1"/>
  <c r="P136" i="1"/>
  <c r="R136" i="1" s="1"/>
  <c r="P135" i="1"/>
  <c r="R135" i="1" s="1"/>
  <c r="P134" i="1"/>
  <c r="R134" i="1" s="1"/>
  <c r="Q133" i="1"/>
  <c r="S133" i="1" s="1"/>
  <c r="P133" i="1"/>
  <c r="R133" i="1" s="1"/>
  <c r="P132" i="1"/>
  <c r="R132" i="1" s="1"/>
  <c r="P131" i="1"/>
  <c r="R131" i="1" s="1"/>
  <c r="P130" i="1"/>
  <c r="R130" i="1" s="1"/>
  <c r="P129" i="1"/>
  <c r="R129" i="1" s="1"/>
  <c r="P128" i="1"/>
  <c r="R128" i="1" s="1"/>
  <c r="P127" i="1"/>
  <c r="R127" i="1" s="1"/>
  <c r="Q126" i="1"/>
  <c r="S126" i="1" s="1"/>
  <c r="P126" i="1"/>
  <c r="R126" i="1" s="1"/>
  <c r="P125" i="1"/>
  <c r="R125" i="1" s="1"/>
  <c r="P124" i="1"/>
  <c r="R124" i="1" s="1"/>
  <c r="P123" i="1"/>
  <c r="R123" i="1" s="1"/>
  <c r="P122" i="1"/>
  <c r="R122" i="1" s="1"/>
  <c r="Q121" i="1"/>
  <c r="S121" i="1" s="1"/>
  <c r="P121" i="1"/>
  <c r="R121" i="1" s="1"/>
  <c r="P120" i="1"/>
  <c r="R120" i="1" s="1"/>
  <c r="P119" i="1"/>
  <c r="R119" i="1" s="1"/>
  <c r="Q118" i="1"/>
  <c r="S118" i="1" s="1"/>
  <c r="P118" i="1"/>
  <c r="R118" i="1" s="1"/>
  <c r="P117" i="1"/>
  <c r="R117" i="1" s="1"/>
  <c r="P116" i="1"/>
  <c r="R116" i="1" s="1"/>
  <c r="P115" i="1"/>
  <c r="R115" i="1" s="1"/>
  <c r="Q114" i="1"/>
  <c r="S114" i="1" s="1"/>
  <c r="P114" i="1"/>
  <c r="R114" i="1" s="1"/>
  <c r="Q113" i="1"/>
  <c r="S113" i="1" s="1"/>
  <c r="P113" i="1"/>
  <c r="R113" i="1" s="1"/>
  <c r="P112" i="1"/>
  <c r="R112" i="1" s="1"/>
  <c r="P111" i="1"/>
  <c r="R111" i="1" s="1"/>
  <c r="Q110" i="1"/>
  <c r="S110" i="1" s="1"/>
  <c r="P110" i="1"/>
  <c r="R110" i="1" s="1"/>
  <c r="P109" i="1"/>
  <c r="R109" i="1" s="1"/>
  <c r="P108" i="1"/>
  <c r="R108" i="1" s="1"/>
  <c r="Q107" i="1"/>
  <c r="S107" i="1" s="1"/>
  <c r="P107" i="1"/>
  <c r="R107" i="1" s="1"/>
  <c r="P106" i="1"/>
  <c r="R106" i="1" s="1"/>
  <c r="Q105" i="1"/>
  <c r="S105" i="1" s="1"/>
  <c r="P105" i="1"/>
  <c r="R105" i="1" s="1"/>
  <c r="P104" i="1"/>
  <c r="R104" i="1" s="1"/>
  <c r="P103" i="1"/>
  <c r="R103" i="1" s="1"/>
  <c r="P102" i="1"/>
  <c r="R102" i="1" s="1"/>
  <c r="Q101" i="1"/>
  <c r="S101" i="1" s="1"/>
  <c r="P101" i="1"/>
  <c r="R101" i="1" s="1"/>
  <c r="P100" i="1"/>
  <c r="R100" i="1" s="1"/>
  <c r="P99" i="1"/>
  <c r="R99" i="1" s="1"/>
  <c r="Q98" i="1"/>
  <c r="S98" i="1" s="1"/>
  <c r="P98" i="1"/>
  <c r="R98" i="1" s="1"/>
  <c r="Q97" i="1"/>
  <c r="S97" i="1" s="1"/>
  <c r="P97" i="1"/>
  <c r="R97" i="1" s="1"/>
  <c r="P96" i="1"/>
  <c r="R96" i="1" s="1"/>
  <c r="P95" i="1"/>
  <c r="R95" i="1" s="1"/>
  <c r="Q94" i="1"/>
  <c r="S94" i="1" s="1"/>
  <c r="P94" i="1"/>
  <c r="R94" i="1" s="1"/>
  <c r="P93" i="1"/>
  <c r="R93" i="1" s="1"/>
  <c r="P92" i="1"/>
  <c r="R92" i="1" s="1"/>
  <c r="Q91" i="1"/>
  <c r="S91" i="1" s="1"/>
  <c r="P91" i="1"/>
  <c r="R91" i="1" s="1"/>
  <c r="P90" i="1"/>
  <c r="R90" i="1" s="1"/>
  <c r="Q89" i="1"/>
  <c r="S89" i="1" s="1"/>
  <c r="P89" i="1"/>
  <c r="R89" i="1" s="1"/>
  <c r="P88" i="1"/>
  <c r="R88" i="1" s="1"/>
  <c r="P87" i="1"/>
  <c r="R87" i="1" s="1"/>
  <c r="P86" i="1"/>
  <c r="R86" i="1" s="1"/>
  <c r="Q85" i="1"/>
  <c r="S85" i="1" s="1"/>
  <c r="P85" i="1"/>
  <c r="R85" i="1" s="1"/>
  <c r="P84" i="1"/>
  <c r="R84" i="1" s="1"/>
  <c r="P83" i="1"/>
  <c r="R83" i="1" s="1"/>
  <c r="Q82" i="1"/>
  <c r="S82" i="1" s="1"/>
  <c r="P82" i="1"/>
  <c r="R82" i="1" s="1"/>
  <c r="Q81" i="1"/>
  <c r="S81" i="1" s="1"/>
  <c r="P81" i="1"/>
  <c r="R81" i="1" s="1"/>
  <c r="P80" i="1"/>
  <c r="R80" i="1" s="1"/>
  <c r="P79" i="1"/>
  <c r="R79" i="1" s="1"/>
  <c r="Q78" i="1"/>
  <c r="S78" i="1" s="1"/>
  <c r="P78" i="1"/>
  <c r="R78" i="1" s="1"/>
  <c r="P77" i="1"/>
  <c r="R77" i="1" s="1"/>
  <c r="P76" i="1"/>
  <c r="R76" i="1" s="1"/>
  <c r="Q75" i="1"/>
  <c r="S75" i="1" s="1"/>
  <c r="P75" i="1"/>
  <c r="R75" i="1" s="1"/>
  <c r="P74" i="1"/>
  <c r="R74" i="1" s="1"/>
  <c r="Q73" i="1"/>
  <c r="S73" i="1" s="1"/>
  <c r="P73" i="1"/>
  <c r="R73" i="1" s="1"/>
  <c r="P72" i="1"/>
  <c r="R72" i="1" s="1"/>
  <c r="P71" i="1"/>
  <c r="R71" i="1" s="1"/>
  <c r="P70" i="1"/>
  <c r="R70" i="1" s="1"/>
  <c r="Q69" i="1"/>
  <c r="S69" i="1" s="1"/>
  <c r="P69" i="1"/>
  <c r="R69" i="1" s="1"/>
  <c r="P68" i="1"/>
  <c r="R68" i="1" s="1"/>
  <c r="P67" i="1"/>
  <c r="R67" i="1" s="1"/>
  <c r="P66" i="1"/>
  <c r="R66" i="1" s="1"/>
  <c r="Q65" i="1"/>
  <c r="S65" i="1" s="1"/>
  <c r="P65" i="1"/>
  <c r="R65" i="1" s="1"/>
  <c r="P64" i="1"/>
  <c r="R64" i="1" s="1"/>
  <c r="Q63" i="1"/>
  <c r="S63" i="1" s="1"/>
  <c r="P63" i="1"/>
  <c r="R63" i="1" s="1"/>
  <c r="Q62" i="1"/>
  <c r="S62" i="1" s="1"/>
  <c r="P62" i="1"/>
  <c r="R62" i="1" s="1"/>
  <c r="Q61" i="1"/>
  <c r="S61" i="1" s="1"/>
  <c r="P61" i="1"/>
  <c r="R61" i="1" s="1"/>
  <c r="Q60" i="1"/>
  <c r="S60" i="1" s="1"/>
  <c r="P60" i="1"/>
  <c r="R60" i="1" s="1"/>
  <c r="Q59" i="1"/>
  <c r="S59" i="1" s="1"/>
  <c r="P59" i="1"/>
  <c r="R59" i="1" s="1"/>
  <c r="Q58" i="1"/>
  <c r="S58" i="1" s="1"/>
  <c r="P58" i="1"/>
  <c r="R58" i="1" s="1"/>
  <c r="Q57" i="1"/>
  <c r="S57" i="1" s="1"/>
  <c r="P57" i="1"/>
  <c r="R57" i="1" s="1"/>
  <c r="Q56" i="1"/>
  <c r="S56" i="1" s="1"/>
  <c r="P56" i="1"/>
  <c r="R56" i="1" s="1"/>
  <c r="Q55" i="1"/>
  <c r="S55" i="1" s="1"/>
  <c r="P55" i="1"/>
  <c r="R55" i="1" s="1"/>
  <c r="Q54" i="1"/>
  <c r="S54" i="1" s="1"/>
  <c r="P54" i="1"/>
  <c r="R54" i="1" s="1"/>
  <c r="Q53" i="1"/>
  <c r="S53" i="1" s="1"/>
  <c r="P53" i="1"/>
  <c r="R53" i="1" s="1"/>
  <c r="Q52" i="1"/>
  <c r="S52" i="1" s="1"/>
  <c r="P52" i="1"/>
  <c r="R52" i="1" s="1"/>
  <c r="Q51" i="1"/>
  <c r="S51" i="1" s="1"/>
  <c r="P51" i="1"/>
  <c r="R51" i="1" s="1"/>
  <c r="Q50" i="1"/>
  <c r="S50" i="1" s="1"/>
  <c r="P50" i="1"/>
  <c r="R50" i="1" s="1"/>
  <c r="Q49" i="1"/>
  <c r="S49" i="1" s="1"/>
  <c r="P49" i="1"/>
  <c r="R49" i="1" s="1"/>
  <c r="Q48" i="1"/>
  <c r="S48" i="1" s="1"/>
  <c r="P48" i="1"/>
  <c r="R48" i="1" s="1"/>
  <c r="Q47" i="1"/>
  <c r="S47" i="1" s="1"/>
  <c r="P47" i="1"/>
  <c r="R47" i="1" s="1"/>
  <c r="Q46" i="1"/>
  <c r="S46" i="1" s="1"/>
  <c r="P46" i="1"/>
  <c r="R46" i="1" s="1"/>
  <c r="Q45" i="1"/>
  <c r="S45" i="1" s="1"/>
  <c r="P45" i="1"/>
  <c r="R45" i="1" s="1"/>
  <c r="Q44" i="1"/>
  <c r="S44" i="1" s="1"/>
  <c r="P44" i="1"/>
  <c r="R44" i="1" s="1"/>
  <c r="Q43" i="1"/>
  <c r="S43" i="1" s="1"/>
  <c r="P43" i="1"/>
  <c r="R43" i="1" s="1"/>
  <c r="Q42" i="1"/>
  <c r="S42" i="1" s="1"/>
  <c r="P42" i="1"/>
  <c r="R42" i="1" s="1"/>
  <c r="Q41" i="1"/>
  <c r="S41" i="1" s="1"/>
  <c r="P41" i="1"/>
  <c r="R41" i="1" s="1"/>
  <c r="Q40" i="1"/>
  <c r="S40" i="1" s="1"/>
  <c r="P40" i="1"/>
  <c r="R40" i="1" s="1"/>
  <c r="Q39" i="1"/>
  <c r="S39" i="1" s="1"/>
  <c r="P39" i="1"/>
  <c r="R39" i="1" s="1"/>
  <c r="Q38" i="1"/>
  <c r="S38" i="1" s="1"/>
  <c r="P38" i="1"/>
  <c r="R38" i="1" s="1"/>
  <c r="Q37" i="1"/>
  <c r="S37" i="1" s="1"/>
  <c r="P37" i="1"/>
  <c r="R37" i="1" s="1"/>
  <c r="Q36" i="1"/>
  <c r="S36" i="1" s="1"/>
  <c r="P36" i="1"/>
  <c r="R36" i="1" s="1"/>
  <c r="Q35" i="1"/>
  <c r="S35" i="1" s="1"/>
  <c r="P35" i="1"/>
  <c r="R35" i="1" s="1"/>
  <c r="Q34" i="1"/>
  <c r="S34" i="1" s="1"/>
  <c r="P34" i="1"/>
  <c r="R34" i="1" s="1"/>
  <c r="Q33" i="1"/>
  <c r="S33" i="1" s="1"/>
  <c r="P33" i="1"/>
  <c r="R33" i="1" s="1"/>
  <c r="Q32" i="1"/>
  <c r="S32" i="1" s="1"/>
  <c r="P32" i="1"/>
  <c r="R32" i="1" s="1"/>
  <c r="Q31" i="1"/>
  <c r="S31" i="1" s="1"/>
  <c r="P31" i="1"/>
  <c r="R31" i="1" s="1"/>
  <c r="Q30" i="1"/>
  <c r="S30" i="1" s="1"/>
  <c r="P30" i="1"/>
  <c r="R30" i="1" s="1"/>
  <c r="Q29" i="1"/>
  <c r="S29" i="1" s="1"/>
  <c r="P29" i="1"/>
  <c r="R29" i="1" s="1"/>
  <c r="Q28" i="1"/>
  <c r="S28" i="1" s="1"/>
  <c r="P28" i="1"/>
  <c r="R28" i="1" s="1"/>
  <c r="Q27" i="1"/>
  <c r="S27" i="1" s="1"/>
  <c r="P27" i="1"/>
  <c r="R27" i="1" s="1"/>
  <c r="Q26" i="1"/>
  <c r="S26" i="1" s="1"/>
  <c r="P26" i="1"/>
  <c r="R26" i="1" s="1"/>
  <c r="Q25" i="1"/>
  <c r="S25" i="1" s="1"/>
  <c r="P25" i="1"/>
  <c r="R25" i="1" s="1"/>
  <c r="Q24" i="1"/>
  <c r="S24" i="1" s="1"/>
  <c r="P24" i="1"/>
  <c r="R24" i="1" s="1"/>
  <c r="Q23" i="1"/>
  <c r="S23" i="1" s="1"/>
  <c r="P23" i="1"/>
  <c r="R23" i="1" s="1"/>
  <c r="Q22" i="1"/>
  <c r="S22" i="1" s="1"/>
  <c r="P22" i="1"/>
  <c r="R22" i="1" s="1"/>
  <c r="Q21" i="1"/>
  <c r="S21" i="1" s="1"/>
  <c r="P21" i="1"/>
  <c r="R21" i="1" s="1"/>
  <c r="Q20" i="1"/>
  <c r="S20" i="1" s="1"/>
  <c r="P20" i="1"/>
  <c r="R20" i="1" s="1"/>
  <c r="Q19" i="1"/>
  <c r="S19" i="1" s="1"/>
  <c r="P19" i="1"/>
  <c r="R19" i="1" s="1"/>
  <c r="Q18" i="1"/>
  <c r="S18" i="1" s="1"/>
  <c r="P18" i="1"/>
  <c r="R18" i="1" s="1"/>
  <c r="Q17" i="1"/>
  <c r="S17" i="1" s="1"/>
  <c r="P17" i="1"/>
  <c r="R17" i="1" s="1"/>
  <c r="Q16" i="1"/>
  <c r="S16" i="1" s="1"/>
  <c r="P16" i="1"/>
  <c r="R16" i="1" s="1"/>
  <c r="Q15" i="1"/>
  <c r="S15" i="1" s="1"/>
  <c r="P15" i="1"/>
  <c r="R15" i="1" s="1"/>
  <c r="Q14" i="1"/>
  <c r="S14" i="1" s="1"/>
  <c r="P14" i="1"/>
  <c r="R14" i="1" s="1"/>
  <c r="Q13" i="1"/>
  <c r="S13" i="1" s="1"/>
  <c r="P13" i="1"/>
  <c r="R13" i="1" s="1"/>
  <c r="Q12" i="1"/>
  <c r="S12" i="1" s="1"/>
  <c r="P12" i="1"/>
  <c r="R12" i="1" s="1"/>
  <c r="Q11" i="1"/>
  <c r="S11" i="1" s="1"/>
  <c r="P11" i="1"/>
  <c r="R11" i="1" s="1"/>
  <c r="Q10" i="1"/>
  <c r="S10" i="1" s="1"/>
  <c r="P10" i="1"/>
  <c r="R10" i="1" s="1"/>
  <c r="Q9" i="1"/>
  <c r="S9" i="1" s="1"/>
  <c r="P9" i="1"/>
  <c r="R9" i="1" s="1"/>
  <c r="Q8" i="1"/>
  <c r="S8" i="1" s="1"/>
  <c r="P8" i="1"/>
  <c r="R8" i="1" s="1"/>
  <c r="Q7" i="1"/>
  <c r="S7" i="1" s="1"/>
  <c r="P7" i="1"/>
  <c r="R7" i="1" s="1"/>
  <c r="Q6" i="1"/>
  <c r="S6" i="1" s="1"/>
  <c r="P6" i="1"/>
  <c r="R6" i="1" s="1"/>
  <c r="Q5" i="1"/>
  <c r="S5" i="1" s="1"/>
  <c r="P5" i="1"/>
  <c r="R5" i="1" s="1"/>
  <c r="Q4" i="1"/>
  <c r="S4" i="1" s="1"/>
  <c r="P4" i="1"/>
  <c r="R4" i="1" s="1"/>
  <c r="P3" i="1"/>
  <c r="R3" i="1" s="1"/>
  <c r="C3" i="1"/>
  <c r="AG3" i="1" l="1"/>
  <c r="AI3" i="1" s="1"/>
</calcChain>
</file>

<file path=xl/sharedStrings.xml><?xml version="1.0" encoding="utf-8"?>
<sst xmlns="http://schemas.openxmlformats.org/spreadsheetml/2006/main" count="658" uniqueCount="239">
  <si>
    <t>SYMBOL</t>
  </si>
  <si>
    <t>ACC</t>
  </si>
  <si>
    <t>ADANIPORTS</t>
  </si>
  <si>
    <t>AMBUJACEM</t>
  </si>
  <si>
    <t>ASIANPAINT</t>
  </si>
  <si>
    <t>AUROPHARMA</t>
  </si>
  <si>
    <t>AXISBANK</t>
  </si>
  <si>
    <t>BAJAJ-AUTO</t>
  </si>
  <si>
    <t>BANKBARODA</t>
  </si>
  <si>
    <t>BHARTIARTL</t>
  </si>
  <si>
    <t>BOSCHLTD</t>
  </si>
  <si>
    <t>BPCL</t>
  </si>
  <si>
    <t>CIPLA</t>
  </si>
  <si>
    <t>COALINDIA</t>
  </si>
  <si>
    <t>DRREDDY</t>
  </si>
  <si>
    <t>EICHERMOT</t>
  </si>
  <si>
    <t>GAIL</t>
  </si>
  <si>
    <t>HCLTECH</t>
  </si>
  <si>
    <t>HDFC</t>
  </si>
  <si>
    <t>HDFCBANK</t>
  </si>
  <si>
    <t>HEROMOTOCO</t>
  </si>
  <si>
    <t>HINDALCO</t>
  </si>
  <si>
    <t>HINDUNILVR</t>
  </si>
  <si>
    <t>IBULHSGFIN</t>
  </si>
  <si>
    <t>ICICIBANK</t>
  </si>
  <si>
    <t>INDUSINDBK</t>
  </si>
  <si>
    <t>INFRATEL</t>
  </si>
  <si>
    <t>INFY</t>
  </si>
  <si>
    <t>IOC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</si>
  <si>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</si>
  <si>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</si>
  <si>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</si>
  <si>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</si>
  <si>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</si>
  <si>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</si>
  <si>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</si>
  <si>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</si>
  <si>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</si>
  <si>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</si>
  <si>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</si>
  <si>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</si>
  <si>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</si>
  <si>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</si>
  <si>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</si>
  <si>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</si>
  <si>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</si>
  <si>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</si>
  <si>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UPL</t>
  </si>
  <si>
    <t>VEDL</t>
  </si>
  <si>
    <t>WIPRO</t>
  </si>
  <si>
    <t>YESBANK</t>
  </si>
  <si>
    <t>ZEEL</t>
  </si>
  <si>
    <t>Y</t>
  </si>
  <si>
    <t>BAJFINANCE</t>
  </si>
  <si>
    <t>Nifty 50</t>
  </si>
  <si>
    <t>HINDPETRO</t>
  </si>
  <si>
    <t>FO</t>
  </si>
  <si>
    <t>ADANIENT</t>
  </si>
  <si>
    <t>ADANIPOWER</t>
  </si>
  <si>
    <t>AJANTPHARM</t>
  </si>
  <si>
    <t>ALBK</t>
  </si>
  <si>
    <t>AMARAJABAT</t>
  </si>
  <si>
    <t>ANDHRABANK</t>
  </si>
  <si>
    <t>APOLLOHOSP</t>
  </si>
  <si>
    <t>APOLLOTYRE</t>
  </si>
  <si>
    <t>ARVIND</t>
  </si>
  <si>
    <t>ASHOKLEY</t>
  </si>
  <si>
    <t>BAJAJFINSV</t>
  </si>
  <si>
    <t>BALKRISIND</t>
  </si>
  <si>
    <t>BALRAMCHIN</t>
  </si>
  <si>
    <t>BANKINDIA</t>
  </si>
  <si>
    <t>BATAINDIA</t>
  </si>
  <si>
    <t>BEL</t>
  </si>
  <si>
    <t>BEML</t>
  </si>
  <si>
    <t>BERGEPAINT</t>
  </si>
  <si>
    <t>BHARATFIN</t>
  </si>
  <si>
    <t>BHARATFORG</t>
  </si>
  <si>
    <t>BHEL</t>
  </si>
  <si>
    <t>BIOCON</t>
  </si>
  <si>
    <t>BRITANNIA</t>
  </si>
  <si>
    <t>CADILAHC</t>
  </si>
  <si>
    <t>CANBK</t>
  </si>
  <si>
    <t>CANFINHOME</t>
  </si>
  <si>
    <t>CAPF</t>
  </si>
  <si>
    <t>CASTROLIND</t>
  </si>
  <si>
    <t>CEATLTD</t>
  </si>
  <si>
    <t>CENTURYTEX</t>
  </si>
  <si>
    <t>CESC</t>
  </si>
  <si>
    <t>CGPOWER</t>
  </si>
  <si>
    <t>CHENNPETRO</t>
  </si>
  <si>
    <t>CHOLAFIN</t>
  </si>
  <si>
    <t>COLPAL</t>
  </si>
  <si>
    <t>CONCOR</t>
  </si>
  <si>
    <t>CUMMINSIND</t>
  </si>
  <si>
    <t>DABUR</t>
  </si>
  <si>
    <t>DALMIABHA</t>
  </si>
  <si>
    <t>DCBBANK</t>
  </si>
  <si>
    <t>DHFL</t>
  </si>
  <si>
    <t>DISHTV</t>
  </si>
  <si>
    <t>DIVISLAB</t>
  </si>
  <si>
    <t>DLF</t>
  </si>
  <si>
    <t>ENGINERSIN</t>
  </si>
  <si>
    <t>EQUITAS</t>
  </si>
  <si>
    <t>ESCORTS</t>
  </si>
  <si>
    <t>EXIDEIND</t>
  </si>
  <si>
    <t>FEDERALBNK</t>
  </si>
  <si>
    <t>FORTIS</t>
  </si>
  <si>
    <t>GLENMARK</t>
  </si>
  <si>
    <t>GMRINFRA</t>
  </si>
  <si>
    <t>GODFRYPHLP</t>
  </si>
  <si>
    <t>GODREJCP</t>
  </si>
  <si>
    <t>GODREJIND</t>
  </si>
  <si>
    <t>GRANULES</t>
  </si>
  <si>
    <t>GRASIM</t>
  </si>
  <si>
    <t>GSFC</t>
  </si>
  <si>
    <t>HAVELLS</t>
  </si>
  <si>
    <t>HCC</t>
  </si>
  <si>
    <t>HDIL</t>
  </si>
  <si>
    <t>HEXAWARE</t>
  </si>
  <si>
    <t>HINDZINC</t>
  </si>
  <si>
    <t>ICICIPRULI</t>
  </si>
  <si>
    <t>ICIL</t>
  </si>
  <si>
    <t>IDBI</t>
  </si>
  <si>
    <t>IDEA</t>
  </si>
  <si>
    <t>IDFC</t>
  </si>
  <si>
    <t>IDFCBANK</t>
  </si>
  <si>
    <t>IFCI</t>
  </si>
  <si>
    <t>IGL</t>
  </si>
  <si>
    <t>INDIACEM</t>
  </si>
  <si>
    <t>INDIANB</t>
  </si>
  <si>
    <t>INDIGO</t>
  </si>
  <si>
    <t>INFIBEAM</t>
  </si>
  <si>
    <t>IRB</t>
  </si>
  <si>
    <t>JETAIRWAYS</t>
  </si>
  <si>
    <t>JINDALSTEL</t>
  </si>
  <si>
    <t>JISLJALEQS</t>
  </si>
  <si>
    <t>JPASSOCIAT</t>
  </si>
  <si>
    <t>JSWENERGY</t>
  </si>
  <si>
    <t>JSWSTEEL</t>
  </si>
  <si>
    <t>JUBLFOOD</t>
  </si>
  <si>
    <t>JUSTDIAL</t>
  </si>
  <si>
    <t>KAJARIACER</t>
  </si>
  <si>
    <t>KPIT</t>
  </si>
  <si>
    <t>KSCL</t>
  </si>
  <si>
    <t>KTKBANK</t>
  </si>
  <si>
    <t>L&amp;TFH</t>
  </si>
  <si>
    <t>LICHSGFIN</t>
  </si>
  <si>
    <t>M&amp;MFIN</t>
  </si>
  <si>
    <t>MANAPPURAM</t>
  </si>
  <si>
    <t>MARICO</t>
  </si>
  <si>
    <t>MCDOWELL-N</t>
  </si>
  <si>
    <t>MCX</t>
  </si>
  <si>
    <t>MFSL</t>
  </si>
  <si>
    <t>MGL</t>
  </si>
  <si>
    <t>MINDTREE</t>
  </si>
  <si>
    <t>MOTHERSUMI</t>
  </si>
  <si>
    <t>MRF</t>
  </si>
  <si>
    <t>MRPL</t>
  </si>
  <si>
    <t>MUTHOOTFIN</t>
  </si>
  <si>
    <t>NATIONALUM</t>
  </si>
  <si>
    <t>NBCC</t>
  </si>
  <si>
    <t>NCC</t>
  </si>
  <si>
    <t>NESTLEIND</t>
  </si>
  <si>
    <t>NHPC</t>
  </si>
  <si>
    <t>NIITTECH</t>
  </si>
  <si>
    <t>NMDC</t>
  </si>
  <si>
    <t>OFSS</t>
  </si>
  <si>
    <t>OIL</t>
  </si>
  <si>
    <t>ORIENTBANK</t>
  </si>
  <si>
    <t>PAGEIND</t>
  </si>
  <si>
    <t>PCJEWELLER</t>
  </si>
  <si>
    <t>PEL</t>
  </si>
  <si>
    <t>PETRONET</t>
  </si>
  <si>
    <t>PFC</t>
  </si>
  <si>
    <t>PIDILITIND</t>
  </si>
  <si>
    <t>PNB</t>
  </si>
  <si>
    <t>PTC</t>
  </si>
  <si>
    <t>PVR</t>
  </si>
  <si>
    <t>RAMCOCEM</t>
  </si>
  <si>
    <t>RAYMOND</t>
  </si>
  <si>
    <t>RBLBANK</t>
  </si>
  <si>
    <t>RCOM</t>
  </si>
  <si>
    <t>RECLTD</t>
  </si>
  <si>
    <t>RELCAPITAL</t>
  </si>
  <si>
    <t>RELINFRA</t>
  </si>
  <si>
    <t>REPCOHOME</t>
  </si>
  <si>
    <t>RNAVAL</t>
  </si>
  <si>
    <t>RPOWER</t>
  </si>
  <si>
    <t>SAIL</t>
  </si>
  <si>
    <t>SHREECEM</t>
  </si>
  <si>
    <t>SIEMENS</t>
  </si>
  <si>
    <t>SOUTHBANK</t>
  </si>
  <si>
    <t>SREINFRA</t>
  </si>
  <si>
    <t>SRF</t>
  </si>
  <si>
    <t>SRTRANSFIN</t>
  </si>
  <si>
    <t>STAR</t>
  </si>
  <si>
    <t>SUNTV</t>
  </si>
  <si>
    <t>SUZLON</t>
  </si>
  <si>
    <t>SYNDIBANK</t>
  </si>
  <si>
    <t>TATACHEM</t>
  </si>
  <si>
    <t>TATACOMM</t>
  </si>
  <si>
    <t>TATAELXSI</t>
  </si>
  <si>
    <t>TATAGLOBAL</t>
  </si>
  <si>
    <t>TATAMTRDVR</t>
  </si>
  <si>
    <t>TITAN</t>
  </si>
  <si>
    <t>TORNTPHARM</t>
  </si>
  <si>
    <t>TORNTPOWER</t>
  </si>
  <si>
    <t>TV18BRDCST</t>
  </si>
  <si>
    <t>TVSMOTOR</t>
  </si>
  <si>
    <t>UBL</t>
  </si>
  <si>
    <t>UJJIVAN</t>
  </si>
  <si>
    <t>UNIONBANK</t>
  </si>
  <si>
    <t>VGUARD</t>
  </si>
  <si>
    <t>VOLTAS</t>
  </si>
  <si>
    <t>WOCKPHARMA</t>
  </si>
  <si>
    <t>N</t>
  </si>
  <si>
    <t>C1</t>
  </si>
  <si>
    <t>C2</t>
  </si>
  <si>
    <t>NT1</t>
  </si>
  <si>
    <t>%C1</t>
  </si>
  <si>
    <t>%C2</t>
  </si>
  <si>
    <t>DQ1</t>
  </si>
  <si>
    <t>DQ2</t>
  </si>
  <si>
    <t>DQ3</t>
  </si>
  <si>
    <t>COI1</t>
  </si>
  <si>
    <t>COI2</t>
  </si>
  <si>
    <t>OIC1</t>
  </si>
  <si>
    <t>OIC2</t>
  </si>
  <si>
    <t>OIC3</t>
  </si>
  <si>
    <t>IV1</t>
  </si>
  <si>
    <t>p2</t>
  </si>
  <si>
    <t>nt3</t>
  </si>
  <si>
    <t>EQ</t>
  </si>
  <si>
    <t>E1</t>
  </si>
  <si>
    <t>BZ</t>
  </si>
  <si>
    <t>BE</t>
  </si>
  <si>
    <t>p1</t>
  </si>
  <si>
    <t>TV3</t>
  </si>
  <si>
    <t>TV2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</si>
</sst>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33" borderId="0" xfId="0" applyFill="1"/>
    <xf numFmtId="0" fontId="0" fillId="0" borderId="0" xfId="0" applyFill="1"/>
    <xf numFmtId="2" fontId="0" fillId="0" borderId="0" xfId="0" applyNumberFormat="1"/>
    <xf numFmtId="0" fontId="0" fillId="34" borderId="0" xfId="0" applyFill="1"/>
    <xf numFmtId="9" fontId="0" fillId="34" borderId="0" xfId="42" applyFont="1" applyFill="1"/>
    <xf numFmtId="0" fontId="0" fillId="35" borderId="0" xfId="0" applyFill="1"/>
    <xf numFmtId="2" fontId="0" fillId="35" borderId="0" xfId="0" applyNumberFormat="1" applyFill="1"/>
    <xf numFmtId="0" fontId="18" fillId="0" borderId="0" xfId="0" applyFont="1" applyFill="1"/>
    <xf numFmtId="1" fontId="0" fillId="35" borderId="0" xfId="42" applyNumberFormat="1" applyFont="1" applyFill="1"/>
    <xf numFmtId="0" fontId="0" fillId="36" borderId="0" xfId="0" applyFill="1"/>
    <xf numFmtId="2" fontId="0" fillId="33" borderId="0" xfId="0" applyNumberFormat="1" applyFill="1"/>
    <xf numFmtId="0" fontId="0" fillId="0" borderId="10" xfId="0" applyFill="1" applyBorder="1"/>
    <xf numFmtId="0" fontId="0" fillId="0" borderId="10" xfId="0" applyBorder="1"/>
    <xf numFmtId="0" fontId="0" fillId="35" borderId="10" xfId="0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/Desktop/sangram/fo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"/>
    </sheetNames>
    <sheetDataSet>
      <sheetData sheetId="0">
        <row r="2">
          <cell r="A2" t="str">
            <v>ACC</v>
          </cell>
        </row>
        <row r="3">
          <cell r="A3" t="str">
            <v>ADANIENT</v>
          </cell>
        </row>
        <row r="4">
          <cell r="A4" t="str">
            <v>ADANIPORTS</v>
          </cell>
        </row>
        <row r="5">
          <cell r="A5" t="str">
            <v>ADANIPOWER</v>
          </cell>
        </row>
        <row r="6">
          <cell r="A6" t="str">
            <v>AMARAJABAT</v>
          </cell>
        </row>
        <row r="7">
          <cell r="A7" t="str">
            <v>AMBUJACEM</v>
          </cell>
        </row>
        <row r="8">
          <cell r="A8" t="str">
            <v>APOLLOHOSP</v>
          </cell>
        </row>
        <row r="9">
          <cell r="A9" t="str">
            <v>APOLLOTYRE</v>
          </cell>
        </row>
        <row r="10">
          <cell r="A10" t="str">
            <v>ASHOKLEY</v>
          </cell>
        </row>
        <row r="11">
          <cell r="A11" t="str">
            <v>ASIANPAINT</v>
          </cell>
        </row>
        <row r="12">
          <cell r="A12" t="str">
            <v>AUROPHARMA</v>
          </cell>
        </row>
        <row r="13">
          <cell r="A13" t="str">
            <v>AXISBANK</v>
          </cell>
        </row>
        <row r="14">
          <cell r="A14" t="str">
            <v>BAJAJ-AUTO</v>
          </cell>
        </row>
        <row r="15">
          <cell r="A15" t="str">
            <v>BAJAJFINSV</v>
          </cell>
        </row>
        <row r="16">
          <cell r="A16" t="str">
            <v>BAJFINANCE</v>
          </cell>
        </row>
        <row r="17">
          <cell r="A17" t="str">
            <v>BALKRISIND</v>
          </cell>
        </row>
        <row r="18">
          <cell r="A18" t="str">
            <v>BANDHANBNK</v>
          </cell>
        </row>
        <row r="19">
          <cell r="A19" t="str">
            <v>BANKBARODA</v>
          </cell>
        </row>
        <row r="20">
          <cell r="A20" t="str">
            <v>BATAINDIA</v>
          </cell>
        </row>
        <row r="21">
          <cell r="A21" t="str">
            <v>BEL</v>
          </cell>
        </row>
        <row r="22">
          <cell r="A22" t="str">
            <v>BERGEPAINT</v>
          </cell>
        </row>
        <row r="23">
          <cell r="A23" t="str">
            <v>BHARATFORG</v>
          </cell>
        </row>
        <row r="24">
          <cell r="A24" t="str">
            <v>BHARTIARTL</v>
          </cell>
        </row>
        <row r="25">
          <cell r="A25" t="str">
            <v>BHEL</v>
          </cell>
        </row>
        <row r="26">
          <cell r="A26" t="str">
            <v>BIOCON</v>
          </cell>
        </row>
        <row r="27">
          <cell r="A27" t="str">
            <v>BOSCHLTD</v>
          </cell>
        </row>
        <row r="28">
          <cell r="A28" t="str">
            <v>BPCL</v>
          </cell>
        </row>
        <row r="29">
          <cell r="A29" t="str">
            <v>BRITANNIA</v>
          </cell>
        </row>
        <row r="30">
          <cell r="A30" t="str">
            <v>CADILAHC</v>
          </cell>
        </row>
        <row r="31">
          <cell r="A31" t="str">
            <v>CANBK</v>
          </cell>
        </row>
        <row r="32">
          <cell r="A32" t="str">
            <v>CENTURYTEX</v>
          </cell>
        </row>
        <row r="33">
          <cell r="A33" t="str">
            <v>CESC</v>
          </cell>
        </row>
        <row r="34">
          <cell r="A34" t="str">
            <v>CHOLAFIN</v>
          </cell>
        </row>
        <row r="35">
          <cell r="A35" t="str">
            <v>CIPLA</v>
          </cell>
        </row>
        <row r="36">
          <cell r="A36" t="str">
            <v>COALINDIA</v>
          </cell>
        </row>
        <row r="37">
          <cell r="A37" t="str">
            <v>COLPAL</v>
          </cell>
        </row>
        <row r="38">
          <cell r="A38" t="str">
            <v>CONCOR</v>
          </cell>
        </row>
        <row r="39">
          <cell r="A39" t="str">
            <v>CUMMINSIND</v>
          </cell>
        </row>
        <row r="40">
          <cell r="A40" t="str">
            <v>DABUR</v>
          </cell>
        </row>
        <row r="41">
          <cell r="A41" t="str">
            <v>DIVISLAB</v>
          </cell>
        </row>
        <row r="42">
          <cell r="A42" t="str">
            <v>DLF</v>
          </cell>
        </row>
        <row r="43">
          <cell r="A43" t="str">
            <v>DRREDDY</v>
          </cell>
        </row>
        <row r="44">
          <cell r="A44" t="str">
            <v>EICHERMOT</v>
          </cell>
        </row>
        <row r="45">
          <cell r="A45" t="str">
            <v>EQUITAS</v>
          </cell>
        </row>
        <row r="46">
          <cell r="A46" t="str">
            <v>ESCORTS</v>
          </cell>
        </row>
        <row r="47">
          <cell r="A47" t="str">
            <v>EXIDEIND</v>
          </cell>
        </row>
        <row r="48">
          <cell r="A48" t="str">
            <v>FEDERALBNK</v>
          </cell>
        </row>
        <row r="49">
          <cell r="A49" t="str">
            <v>GAIL</v>
          </cell>
        </row>
        <row r="50">
          <cell r="A50" t="str">
            <v>GLENMARK</v>
          </cell>
        </row>
        <row r="51">
          <cell r="A51" t="str">
            <v>GMRINFRA</v>
          </cell>
        </row>
        <row r="52">
          <cell r="A52" t="str">
            <v>GODREJCP</v>
          </cell>
        </row>
        <row r="53">
          <cell r="A53" t="str">
            <v>GODREJPROP</v>
          </cell>
        </row>
        <row r="54">
          <cell r="A54" t="str">
            <v>GRASIM</v>
          </cell>
        </row>
        <row r="55">
          <cell r="A55" t="str">
            <v>HAVELLS</v>
          </cell>
        </row>
        <row r="56">
          <cell r="A56" t="str">
            <v>HCLTECH</v>
          </cell>
        </row>
        <row r="57">
          <cell r="A57" t="str">
            <v>HDFC</v>
          </cell>
        </row>
        <row r="58">
          <cell r="A58" t="str">
            <v>HDFCBANK</v>
          </cell>
        </row>
        <row r="59">
          <cell r="A59" t="str">
            <v>HDFCLIFE</v>
          </cell>
        </row>
        <row r="60">
          <cell r="A60" t="str">
            <v>HEROMOTOCO</v>
          </cell>
        </row>
        <row r="61">
          <cell r="A61" t="str">
            <v>HINDALCO</v>
          </cell>
        </row>
        <row r="62">
          <cell r="A62" t="str">
            <v>HINDPETRO</v>
          </cell>
        </row>
        <row r="63">
          <cell r="A63" t="str">
            <v>HINDUNILVR</v>
          </cell>
        </row>
        <row r="64">
          <cell r="A64" t="str">
            <v>IBULHSGFIN</v>
          </cell>
        </row>
        <row r="65">
          <cell r="A65" t="str">
            <v>ICICIBANK</v>
          </cell>
        </row>
        <row r="66">
          <cell r="A66" t="str">
            <v>ICICIPRULI</v>
          </cell>
        </row>
        <row r="67">
          <cell r="A67" t="str">
            <v>IDEA</v>
          </cell>
        </row>
        <row r="68">
          <cell r="A68" t="str">
            <v>IDFCFIRSTB</v>
          </cell>
        </row>
        <row r="69">
          <cell r="A69" t="str">
            <v>IGL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30042020</v>
          </cell>
          <cell r="B2">
            <v>1728</v>
          </cell>
        </row>
        <row r="4">
          <cell r="A4" t="str">
            <v>Name of Security</v>
          </cell>
          <cell r="B4" t="str">
            <v>Deliverable Quantity(gross across client level)</v>
          </cell>
        </row>
        <row r="5">
          <cell r="A5" t="str">
            <v>20MICRONS</v>
          </cell>
          <cell r="B5">
            <v>38288</v>
          </cell>
        </row>
        <row r="6">
          <cell r="A6" t="str">
            <v>21STCENMGM</v>
          </cell>
          <cell r="B6">
            <v>10</v>
          </cell>
        </row>
        <row r="7">
          <cell r="A7" t="str">
            <v>3IINFOTECH</v>
          </cell>
          <cell r="B7">
            <v>3782040</v>
          </cell>
        </row>
        <row r="8">
          <cell r="A8" t="str">
            <v>3MINDIA</v>
          </cell>
          <cell r="B8">
            <v>5403</v>
          </cell>
        </row>
        <row r="9">
          <cell r="A9" t="str">
            <v>3PLAND</v>
          </cell>
          <cell r="B9">
            <v>3062</v>
          </cell>
        </row>
        <row r="10">
          <cell r="A10" t="str">
            <v>5PAISA</v>
          </cell>
          <cell r="B10">
            <v>12063</v>
          </cell>
        </row>
        <row r="11">
          <cell r="A11" t="str">
            <v>617GS2021</v>
          </cell>
          <cell r="B11">
            <v>504</v>
          </cell>
        </row>
        <row r="12">
          <cell r="A12" t="str">
            <v>618GS2024</v>
          </cell>
          <cell r="B12">
            <v>100</v>
          </cell>
        </row>
        <row r="13">
          <cell r="A13" t="str">
            <v>706GS2046</v>
          </cell>
          <cell r="B13">
            <v>5</v>
          </cell>
        </row>
        <row r="14">
          <cell r="A14" t="str">
            <v>726GS2029</v>
          </cell>
          <cell r="B14">
            <v>100</v>
          </cell>
        </row>
        <row r="15">
          <cell r="A15" t="str">
            <v>75GS2034</v>
          </cell>
          <cell r="B15">
            <v>5</v>
          </cell>
        </row>
        <row r="16">
          <cell r="A16" t="str">
            <v>769GS2043</v>
          </cell>
          <cell r="B16">
            <v>170</v>
          </cell>
        </row>
        <row r="17">
          <cell r="A17" t="str">
            <v>772GS2049</v>
          </cell>
          <cell r="B17">
            <v>700</v>
          </cell>
        </row>
        <row r="18">
          <cell r="A18" t="str">
            <v>813GS2045</v>
          </cell>
          <cell r="B18">
            <v>500</v>
          </cell>
        </row>
        <row r="19">
          <cell r="A19" t="str">
            <v>A2ZINFRA</v>
          </cell>
          <cell r="B19">
            <v>607400</v>
          </cell>
        </row>
        <row r="20">
          <cell r="A20" t="str">
            <v>AAKASH</v>
          </cell>
          <cell r="B20">
            <v>3000</v>
          </cell>
        </row>
        <row r="21">
          <cell r="A21" t="str">
            <v>AARTIDRUGS</v>
          </cell>
          <cell r="B21">
            <v>41668</v>
          </cell>
        </row>
        <row r="22">
          <cell r="A22" t="str">
            <v>AARTIIND</v>
          </cell>
          <cell r="B22">
            <v>534833</v>
          </cell>
        </row>
        <row r="23">
          <cell r="A23" t="str">
            <v>AARVEEDEN</v>
          </cell>
          <cell r="B23">
            <v>3205</v>
          </cell>
        </row>
        <row r="24">
          <cell r="A24" t="str">
            <v>AAVAS</v>
          </cell>
          <cell r="B24">
            <v>29052</v>
          </cell>
        </row>
        <row r="25">
          <cell r="A25" t="str">
            <v>ABB</v>
          </cell>
          <cell r="B25">
            <v>145626</v>
          </cell>
        </row>
        <row r="26">
          <cell r="A26" t="str">
            <v>ABBOTINDIA</v>
          </cell>
          <cell r="B26">
            <v>44054</v>
          </cell>
        </row>
        <row r="27">
          <cell r="A27" t="str">
            <v>ABCAPITAL</v>
          </cell>
          <cell r="B27">
            <v>2392050</v>
          </cell>
        </row>
        <row r="28">
          <cell r="A28" t="str">
            <v>ABFRL</v>
          </cell>
          <cell r="B28">
            <v>7529919</v>
          </cell>
        </row>
        <row r="29">
          <cell r="A29" t="str">
            <v>ABSLBANETF</v>
          </cell>
          <cell r="B29">
            <v>46</v>
          </cell>
        </row>
        <row r="30">
          <cell r="A30" t="str">
            <v>ABSLNN50ET</v>
          </cell>
          <cell r="B30">
            <v>4796</v>
          </cell>
        </row>
        <row r="31">
          <cell r="A31" t="str">
            <v>ABSLRIF6RG</v>
          </cell>
          <cell r="B31">
            <v>10000</v>
          </cell>
        </row>
        <row r="32">
          <cell r="A32" t="str">
            <v>ACC</v>
          </cell>
          <cell r="B32">
            <v>1910083</v>
          </cell>
        </row>
        <row r="33">
          <cell r="A33" t="str">
            <v>ACCELYA</v>
          </cell>
          <cell r="B33">
            <v>12692</v>
          </cell>
        </row>
        <row r="34">
          <cell r="A34" t="str">
            <v>ACCURACY</v>
          </cell>
          <cell r="B34">
            <v>1600</v>
          </cell>
        </row>
        <row r="35">
          <cell r="A35" t="str">
            <v>ACE</v>
          </cell>
          <cell r="B35">
            <v>480625</v>
          </cell>
        </row>
        <row r="36">
          <cell r="A36" t="str">
            <v>ADANIENT</v>
          </cell>
          <cell r="B36">
            <v>4900322</v>
          </cell>
        </row>
        <row r="37">
          <cell r="A37" t="str">
            <v>ADANIGAS</v>
          </cell>
          <cell r="B37">
            <v>1989814</v>
          </cell>
        </row>
        <row r="38">
          <cell r="A38" t="str">
            <v>ADANIGREEN</v>
          </cell>
          <cell r="B38">
            <v>488630</v>
          </cell>
        </row>
        <row r="39">
          <cell r="A39" t="str">
            <v>ADANIPORTS</v>
          </cell>
          <cell r="B39">
            <v>4675412</v>
          </cell>
        </row>
        <row r="40">
          <cell r="A40" t="str">
            <v>ADANIPOWER</v>
          </cell>
          <cell r="B40">
            <v>12912035</v>
          </cell>
        </row>
        <row r="41">
          <cell r="A41" t="str">
            <v>ADANITRANS</v>
          </cell>
          <cell r="B41">
            <v>204612</v>
          </cell>
        </row>
        <row r="42">
          <cell r="A42" t="str">
            <v>ADFFOODS</v>
          </cell>
          <cell r="B42">
            <v>13799</v>
          </cell>
        </row>
        <row r="43">
          <cell r="A43" t="str">
            <v>ADHUNIKIND</v>
          </cell>
          <cell r="B43">
            <v>26391</v>
          </cell>
        </row>
        <row r="44">
          <cell r="A44" t="str">
            <v>ADORWELD</v>
          </cell>
          <cell r="B44">
            <v>2800</v>
          </cell>
        </row>
        <row r="45">
          <cell r="A45" t="str">
            <v>ADSL</v>
          </cell>
          <cell r="B45">
            <v>38599</v>
          </cell>
        </row>
        <row r="46">
          <cell r="A46" t="str">
            <v>ADVANIHOTR</v>
          </cell>
          <cell r="B46">
            <v>8635</v>
          </cell>
        </row>
        <row r="47">
          <cell r="A47" t="str">
            <v>ADVENZYMES</v>
          </cell>
          <cell r="B47">
            <v>153827</v>
          </cell>
        </row>
        <row r="48">
          <cell r="A48" t="str">
            <v>AEGISCHEM</v>
          </cell>
          <cell r="B48">
            <v>123772</v>
          </cell>
        </row>
        <row r="49">
          <cell r="A49" t="str">
            <v>AGARIND</v>
          </cell>
          <cell r="B49">
            <v>33222</v>
          </cell>
        </row>
        <row r="50">
          <cell r="A50" t="str">
            <v>AGRITECH</v>
          </cell>
          <cell r="B50">
            <v>14585</v>
          </cell>
        </row>
        <row r="51">
          <cell r="A51" t="str">
            <v>AGROPHOS</v>
          </cell>
          <cell r="B51">
            <v>13782</v>
          </cell>
        </row>
        <row r="52">
          <cell r="A52" t="str">
            <v>AHLEAST</v>
          </cell>
          <cell r="B52">
            <v>5224</v>
          </cell>
        </row>
        <row r="53">
          <cell r="A53" t="str">
            <v>AHLUCONT</v>
          </cell>
          <cell r="B53">
            <v>53381</v>
          </cell>
        </row>
        <row r="54">
          <cell r="A54" t="str">
            <v>AIAENG</v>
          </cell>
          <cell r="B54">
            <v>57808</v>
          </cell>
        </row>
        <row r="55">
          <cell r="A55" t="str">
            <v>AIRAN</v>
          </cell>
          <cell r="B55">
            <v>17130</v>
          </cell>
        </row>
        <row r="56">
          <cell r="A56" t="str">
            <v>AISL</v>
          </cell>
          <cell r="B56">
            <v>1200</v>
          </cell>
        </row>
        <row r="57">
          <cell r="A57" t="str">
            <v>AJANTPHARM</v>
          </cell>
          <cell r="B57">
            <v>124296</v>
          </cell>
        </row>
        <row r="58">
          <cell r="A58" t="str">
            <v>AJMERA</v>
          </cell>
          <cell r="B58">
            <v>73799</v>
          </cell>
        </row>
        <row r="59">
          <cell r="A59" t="str">
            <v>AKSHARCHEM</v>
          </cell>
          <cell r="B59">
            <v>40769</v>
          </cell>
        </row>
        <row r="60">
          <cell r="A60" t="str">
            <v>AKSHOPTFBR</v>
          </cell>
          <cell r="B60">
            <v>529479</v>
          </cell>
        </row>
        <row r="61">
          <cell r="A61" t="str">
            <v>AKZOINDIA</v>
          </cell>
          <cell r="B61">
            <v>26742</v>
          </cell>
        </row>
        <row r="62">
          <cell r="A62" t="str">
            <v>ALANKIT</v>
          </cell>
          <cell r="B62">
            <v>43479</v>
          </cell>
        </row>
        <row r="63">
          <cell r="A63" t="str">
            <v>ALBERTDAVD</v>
          </cell>
          <cell r="B63">
            <v>29156</v>
          </cell>
        </row>
        <row r="64">
          <cell r="A64" t="str">
            <v>ALEMBICLTD</v>
          </cell>
          <cell r="B64">
            <v>151496</v>
          </cell>
        </row>
        <row r="65">
          <cell r="A65" t="str">
            <v>ALICON</v>
          </cell>
          <cell r="B65">
            <v>4491</v>
          </cell>
        </row>
        <row r="66">
          <cell r="A66" t="str">
            <v>ALKALI</v>
          </cell>
          <cell r="B66">
            <v>90965</v>
          </cell>
        </row>
        <row r="67">
          <cell r="A67" t="str">
            <v>ALKEM</v>
          </cell>
          <cell r="B67">
            <v>200131</v>
          </cell>
        </row>
        <row r="68">
          <cell r="A68" t="str">
            <v>ALKYLAMINE</v>
          </cell>
          <cell r="B68">
            <v>45276</v>
          </cell>
        </row>
        <row r="69">
          <cell r="A69" t="str">
            <v>ALLCARGO</v>
          </cell>
          <cell r="B69">
            <v>161744</v>
          </cell>
        </row>
        <row r="70">
          <cell r="A70" t="str">
            <v>ALLSEC</v>
          </cell>
          <cell r="B70">
            <v>5971</v>
          </cell>
        </row>
        <row r="71">
          <cell r="A71" t="str">
            <v>ALMONDZ</v>
          </cell>
          <cell r="B71">
            <v>3974</v>
          </cell>
        </row>
        <row r="72">
          <cell r="A72" t="str">
            <v>ALOKINDS</v>
          </cell>
          <cell r="B72">
            <v>13663283</v>
          </cell>
        </row>
        <row r="73">
          <cell r="A73" t="str">
            <v>ALPA</v>
          </cell>
          <cell r="B73">
            <v>86690</v>
          </cell>
        </row>
        <row r="74">
          <cell r="A74" t="str">
            <v>ALPHAGEO</v>
          </cell>
          <cell r="B74">
            <v>31447</v>
          </cell>
        </row>
        <row r="75">
          <cell r="A75" t="str">
            <v>AMARAJABAT</v>
          </cell>
          <cell r="B75">
            <v>1318693</v>
          </cell>
        </row>
        <row r="76">
          <cell r="A76" t="str">
            <v>AMBER</v>
          </cell>
          <cell r="B76">
            <v>130537</v>
          </cell>
        </row>
        <row r="77">
          <cell r="A77" t="str">
            <v>AMBIKCO</v>
          </cell>
          <cell r="B77">
            <v>5309</v>
          </cell>
        </row>
        <row r="78">
          <cell r="A78" t="str">
            <v>AMBUJACEM</v>
          </cell>
          <cell r="B78">
            <v>4691798</v>
          </cell>
        </row>
        <row r="79">
          <cell r="A79" t="str">
            <v>AMDIND</v>
          </cell>
          <cell r="B79">
            <v>7589</v>
          </cell>
        </row>
        <row r="80">
          <cell r="A80" t="str">
            <v>AMJLAND</v>
          </cell>
          <cell r="B80">
            <v>11111</v>
          </cell>
        </row>
        <row r="81">
          <cell r="A81" t="str">
            <v>AMJUMBO</v>
          </cell>
          <cell r="B81">
            <v>48000</v>
          </cell>
        </row>
        <row r="82">
          <cell r="A82" t="str">
            <v>AMRUTANJAN</v>
          </cell>
          <cell r="B82">
            <v>37993</v>
          </cell>
        </row>
        <row r="83">
          <cell r="A83" t="str">
            <v>ANANTRAJ</v>
          </cell>
          <cell r="B83">
            <v>229320</v>
          </cell>
        </row>
        <row r="84">
          <cell r="A84" t="str">
            <v>ANDHRAPAP</v>
          </cell>
          <cell r="B84">
            <v>15193</v>
          </cell>
        </row>
        <row r="85">
          <cell r="A85" t="str">
            <v>ANDHRSUGAR</v>
          </cell>
          <cell r="B85">
            <v>52721</v>
          </cell>
        </row>
        <row r="86">
          <cell r="A86" t="str">
            <v>ANKITMETAL</v>
          </cell>
          <cell r="B86">
            <v>12217</v>
          </cell>
        </row>
        <row r="87">
          <cell r="A87" t="str">
            <v>ANSALAPI</v>
          </cell>
          <cell r="B87">
            <v>328353</v>
          </cell>
        </row>
        <row r="88">
          <cell r="A88" t="str">
            <v>ANSALHSG</v>
          </cell>
          <cell r="B88">
            <v>77119</v>
          </cell>
        </row>
        <row r="89">
          <cell r="A89" t="str">
            <v>ANUP</v>
          </cell>
          <cell r="B89">
            <v>19651</v>
          </cell>
        </row>
        <row r="90">
          <cell r="A90" t="str">
            <v>APARINDS</v>
          </cell>
          <cell r="B90">
            <v>13648</v>
          </cell>
        </row>
        <row r="91">
          <cell r="A91" t="str">
            <v>APCL</v>
          </cell>
          <cell r="B91">
            <v>10665</v>
          </cell>
        </row>
        <row r="92">
          <cell r="A92" t="str">
            <v>APCOTEXIND</v>
          </cell>
          <cell r="B92">
            <v>30222</v>
          </cell>
        </row>
        <row r="93">
          <cell r="A93" t="str">
            <v>APEX</v>
          </cell>
          <cell r="B93">
            <v>136737</v>
          </cell>
        </row>
        <row r="94">
          <cell r="A94" t="str">
            <v>APLAPOLLO</v>
          </cell>
          <cell r="B94">
            <v>223935</v>
          </cell>
        </row>
        <row r="95">
          <cell r="A95" t="str">
            <v>APLLTD</v>
          </cell>
          <cell r="B95">
            <v>407025</v>
          </cell>
        </row>
        <row r="96">
          <cell r="A96" t="str">
            <v>APOLLO</v>
          </cell>
          <cell r="B96">
            <v>200179</v>
          </cell>
        </row>
        <row r="97">
          <cell r="A97" t="str">
            <v>APOLLOHOSP</v>
          </cell>
          <cell r="B97">
            <v>731401</v>
          </cell>
        </row>
        <row r="98">
          <cell r="A98" t="str">
            <v>APOLLOPIPE</v>
          </cell>
          <cell r="B98">
            <v>58582</v>
          </cell>
        </row>
        <row r="99">
          <cell r="A99" t="str">
            <v>APOLLOTYRE</v>
          </cell>
          <cell r="B99">
            <v>17848226</v>
          </cell>
        </row>
        <row r="100">
          <cell r="A100" t="str">
            <v>APOLSINHOT</v>
          </cell>
          <cell r="B100">
            <v>637</v>
          </cell>
        </row>
        <row r="101">
          <cell r="A101" t="str">
            <v>APTECHT</v>
          </cell>
          <cell r="B101">
            <v>180825</v>
          </cell>
        </row>
        <row r="102">
          <cell r="A102" t="str">
            <v>ARCHIDPLY</v>
          </cell>
          <cell r="B102">
            <v>68826</v>
          </cell>
        </row>
        <row r="103">
          <cell r="A103" t="str">
            <v>ARCOTECH</v>
          </cell>
          <cell r="B103">
            <v>49769</v>
          </cell>
        </row>
        <row r="104">
          <cell r="A104" t="str">
            <v>ARENTERP</v>
          </cell>
          <cell r="B104">
            <v>161</v>
          </cell>
        </row>
        <row r="105">
          <cell r="A105" t="str">
            <v>ARIES</v>
          </cell>
          <cell r="B105">
            <v>50271</v>
          </cell>
        </row>
        <row r="106">
          <cell r="A106" t="str">
            <v>ARIHANT</v>
          </cell>
          <cell r="B106">
            <v>868</v>
          </cell>
        </row>
        <row r="107">
          <cell r="A107" t="str">
            <v>ARIHANTSUP</v>
          </cell>
          <cell r="B107">
            <v>13125</v>
          </cell>
        </row>
        <row r="108">
          <cell r="A108" t="str">
            <v>ARMANFIN</v>
          </cell>
          <cell r="B108">
            <v>9696</v>
          </cell>
        </row>
        <row r="109">
          <cell r="A109" t="str">
            <v>AROGRANITE</v>
          </cell>
          <cell r="B109">
            <v>5439</v>
          </cell>
        </row>
        <row r="110">
          <cell r="A110" t="str">
            <v>ARSHIYA</v>
          </cell>
          <cell r="B110">
            <v>7901</v>
          </cell>
        </row>
        <row r="111">
          <cell r="A111" t="str">
            <v>ARTEMISMED</v>
          </cell>
          <cell r="B111">
            <v>2395</v>
          </cell>
        </row>
        <row r="112">
          <cell r="A112" t="str">
            <v>ARVIND</v>
          </cell>
          <cell r="B112">
            <v>3800592</v>
          </cell>
        </row>
        <row r="113">
          <cell r="A113" t="str">
            <v>ARVINDFASN</v>
          </cell>
          <cell r="B113">
            <v>119007</v>
          </cell>
        </row>
        <row r="114">
          <cell r="A114" t="str">
            <v>ARVSMART</v>
          </cell>
          <cell r="B114">
            <v>757544</v>
          </cell>
        </row>
        <row r="115">
          <cell r="A115" t="str">
            <v>ASAHIINDIA</v>
          </cell>
          <cell r="B115">
            <v>14058</v>
          </cell>
        </row>
        <row r="116">
          <cell r="A116" t="str">
            <v>ASAHISONG</v>
          </cell>
          <cell r="B116">
            <v>19489</v>
          </cell>
        </row>
        <row r="117">
          <cell r="A117" t="str">
            <v>ASAL</v>
          </cell>
          <cell r="B117">
            <v>9857</v>
          </cell>
        </row>
        <row r="118">
          <cell r="A118" t="str">
            <v>ASALCBR</v>
          </cell>
          <cell r="B118">
            <v>25550</v>
          </cell>
        </row>
        <row r="119">
          <cell r="A119" t="str">
            <v>ASHAPURMIN</v>
          </cell>
          <cell r="B119">
            <v>40921</v>
          </cell>
        </row>
        <row r="120">
          <cell r="A120" t="str">
            <v>ASHIANA</v>
          </cell>
          <cell r="B120">
            <v>229574</v>
          </cell>
        </row>
        <row r="121">
          <cell r="A121" t="str">
            <v>ASHOKA</v>
          </cell>
          <cell r="B121">
            <v>1210824</v>
          </cell>
        </row>
        <row r="122">
          <cell r="A122" t="str">
            <v>ASHOKLEY</v>
          </cell>
          <cell r="B122">
            <v>56360008</v>
          </cell>
        </row>
        <row r="123">
          <cell r="A123" t="str">
            <v>ASIANHOTNR</v>
          </cell>
          <cell r="B123">
            <v>2472</v>
          </cell>
        </row>
        <row r="124">
          <cell r="A124" t="str">
            <v>ASIANPAINT</v>
          </cell>
          <cell r="B124">
            <v>2926355</v>
          </cell>
        </row>
        <row r="125">
          <cell r="A125" t="str">
            <v>ASIANTILES</v>
          </cell>
          <cell r="B125">
            <v>167976</v>
          </cell>
        </row>
        <row r="126">
          <cell r="A126" t="str">
            <v>ASPINWALL</v>
          </cell>
          <cell r="B126">
            <v>7571</v>
          </cell>
        </row>
        <row r="127">
          <cell r="A127" t="str">
            <v>ASTEC</v>
          </cell>
          <cell r="B127">
            <v>18896</v>
          </cell>
        </row>
        <row r="128">
          <cell r="A128" t="str">
            <v>ASTERDM</v>
          </cell>
          <cell r="B128">
            <v>718784</v>
          </cell>
        </row>
        <row r="129">
          <cell r="A129" t="str">
            <v>ASTRAL</v>
          </cell>
          <cell r="B129">
            <v>265840</v>
          </cell>
        </row>
        <row r="130">
          <cell r="A130" t="str">
            <v>ASTRAMICRO</v>
          </cell>
          <cell r="B130">
            <v>177492</v>
          </cell>
        </row>
        <row r="131">
          <cell r="A131" t="str">
            <v>ASTRAZEN</v>
          </cell>
          <cell r="B131">
            <v>136267</v>
          </cell>
        </row>
        <row r="132">
          <cell r="A132" t="str">
            <v>ASTRON</v>
          </cell>
          <cell r="B132">
            <v>20678</v>
          </cell>
        </row>
        <row r="133">
          <cell r="A133" t="str">
            <v>ATFL</v>
          </cell>
          <cell r="B133">
            <v>6386</v>
          </cell>
        </row>
        <row r="134">
          <cell r="A134" t="str">
            <v>ATLANTA</v>
          </cell>
          <cell r="B134">
            <v>13212</v>
          </cell>
        </row>
        <row r="135">
          <cell r="A135" t="str">
            <v>ATUL</v>
          </cell>
          <cell r="B135">
            <v>47420</v>
          </cell>
        </row>
        <row r="136">
          <cell r="A136" t="str">
            <v>ATULAUTO</v>
          </cell>
          <cell r="B136">
            <v>57243</v>
          </cell>
        </row>
        <row r="137">
          <cell r="A137" t="str">
            <v>AUBANK</v>
          </cell>
          <cell r="B137">
            <v>1903795</v>
          </cell>
        </row>
        <row r="138">
          <cell r="A138" t="str">
            <v>AURIONPRO</v>
          </cell>
          <cell r="B138">
            <v>12851</v>
          </cell>
        </row>
        <row r="139">
          <cell r="A139" t="str">
            <v>AUROPHARMA</v>
          </cell>
          <cell r="B139">
            <v>6391548</v>
          </cell>
        </row>
        <row r="140">
          <cell r="A140" t="str">
            <v>AUSOMENT</v>
          </cell>
          <cell r="B140">
            <v>603</v>
          </cell>
        </row>
        <row r="141">
          <cell r="A141" t="str">
            <v>AUTOAXLES</v>
          </cell>
          <cell r="B141">
            <v>37198</v>
          </cell>
        </row>
        <row r="142">
          <cell r="A142" t="str">
            <v>AUTOIND</v>
          </cell>
          <cell r="B142">
            <v>40903</v>
          </cell>
        </row>
        <row r="143">
          <cell r="A143" t="str">
            <v>AUTOLITIND</v>
          </cell>
          <cell r="B143">
            <v>19486</v>
          </cell>
        </row>
        <row r="144">
          <cell r="A144" t="str">
            <v>AVADHSUGAR</v>
          </cell>
          <cell r="B144">
            <v>32991</v>
          </cell>
        </row>
        <row r="145">
          <cell r="A145" t="str">
            <v>AVANTIFEED</v>
          </cell>
          <cell r="B145">
            <v>578145</v>
          </cell>
        </row>
        <row r="146">
          <cell r="A146" t="str">
            <v>AVTNPL</v>
          </cell>
          <cell r="B146">
            <v>112159</v>
          </cell>
        </row>
        <row r="147">
          <cell r="A147" t="str">
            <v>AXISBANK</v>
          </cell>
          <cell r="B147">
            <v>40383418</v>
          </cell>
        </row>
        <row r="148">
          <cell r="A148" t="str">
            <v>AXISCADES</v>
          </cell>
          <cell r="B148">
            <v>73168</v>
          </cell>
        </row>
        <row r="149">
          <cell r="A149" t="str">
            <v>AXISGOLD</v>
          </cell>
          <cell r="B149">
            <v>2301</v>
          </cell>
        </row>
        <row r="150">
          <cell r="A150" t="str">
            <v>AXISNIFTY</v>
          </cell>
          <cell r="B150">
            <v>117</v>
          </cell>
        </row>
        <row r="151">
          <cell r="A151" t="str">
            <v>AYMSYNTEX</v>
          </cell>
          <cell r="B151">
            <v>37260</v>
          </cell>
        </row>
        <row r="152">
          <cell r="A152" t="str">
            <v>BAJAJ-AUTO</v>
          </cell>
          <cell r="B152">
            <v>1118713</v>
          </cell>
        </row>
        <row r="153">
          <cell r="A153" t="str">
            <v>BAJAJCON</v>
          </cell>
          <cell r="B153">
            <v>334678</v>
          </cell>
        </row>
        <row r="154">
          <cell r="A154" t="str">
            <v>BAJAJELEC</v>
          </cell>
          <cell r="B154">
            <v>155511</v>
          </cell>
        </row>
        <row r="155">
          <cell r="A155" t="str">
            <v>BAJAJFINSV</v>
          </cell>
          <cell r="B155">
            <v>1064409</v>
          </cell>
        </row>
        <row r="156">
          <cell r="A156" t="str">
            <v>BAJAJHIND</v>
          </cell>
          <cell r="B156">
            <v>470771</v>
          </cell>
        </row>
        <row r="157">
          <cell r="A157" t="str">
            <v>BAJAJHLDNG</v>
          </cell>
          <cell r="B157">
            <v>44807</v>
          </cell>
        </row>
        <row r="158">
          <cell r="A158" t="str">
            <v>BAJFINANCE</v>
          </cell>
          <cell r="B158">
            <v>8884225</v>
          </cell>
        </row>
        <row r="159">
          <cell r="A159" t="str">
            <v>BALAJITELE</v>
          </cell>
          <cell r="B159">
            <v>478255</v>
          </cell>
        </row>
        <row r="160">
          <cell r="A160" t="str">
            <v>BALAMINES</v>
          </cell>
          <cell r="B160">
            <v>141860</v>
          </cell>
        </row>
        <row r="161">
          <cell r="A161" t="str">
            <v>BALKRISHNA</v>
          </cell>
          <cell r="B161">
            <v>17215</v>
          </cell>
        </row>
        <row r="162">
          <cell r="A162" t="str">
            <v>BALKRISIND</v>
          </cell>
          <cell r="B162">
            <v>1565953</v>
          </cell>
        </row>
        <row r="163">
          <cell r="A163" t="str">
            <v>BALLARPUR</v>
          </cell>
          <cell r="B163">
            <v>3410309</v>
          </cell>
        </row>
        <row r="164">
          <cell r="A164" t="str">
            <v>BALMLAWRIE</v>
          </cell>
          <cell r="B164">
            <v>143982</v>
          </cell>
        </row>
        <row r="165">
          <cell r="A165" t="str">
            <v>BALRAMCHIN</v>
          </cell>
          <cell r="B165">
            <v>605156</v>
          </cell>
        </row>
        <row r="166">
          <cell r="A166" t="str">
            <v>BANARBEADS</v>
          </cell>
          <cell r="B166">
            <v>253</v>
          </cell>
        </row>
        <row r="167">
          <cell r="A167" t="str">
            <v>BANARISUG</v>
          </cell>
          <cell r="B167">
            <v>390</v>
          </cell>
        </row>
        <row r="168">
          <cell r="A168" t="str">
            <v>BANCOINDIA</v>
          </cell>
          <cell r="B168">
            <v>200742</v>
          </cell>
        </row>
        <row r="169">
          <cell r="A169" t="str">
            <v>BANDHANBNK</v>
          </cell>
          <cell r="B169">
            <v>28033566</v>
          </cell>
        </row>
        <row r="170">
          <cell r="A170" t="str">
            <v>BANG</v>
          </cell>
          <cell r="B170">
            <v>1515</v>
          </cell>
        </row>
        <row r="171">
          <cell r="A171" t="str">
            <v>BANKBARODA</v>
          </cell>
          <cell r="B171">
            <v>41912287</v>
          </cell>
        </row>
        <row r="172">
          <cell r="A172" t="str">
            <v>BANKBEES</v>
          </cell>
          <cell r="B172">
            <v>1078439</v>
          </cell>
        </row>
        <row r="173">
          <cell r="A173" t="str">
            <v>BANKINDIA</v>
          </cell>
          <cell r="B173">
            <v>7918011</v>
          </cell>
        </row>
        <row r="174">
          <cell r="A174" t="str">
            <v>BANSWRAS</v>
          </cell>
          <cell r="B174">
            <v>14853</v>
          </cell>
        </row>
        <row r="175">
          <cell r="A175" t="str">
            <v>BASF</v>
          </cell>
          <cell r="B175">
            <v>19119</v>
          </cell>
        </row>
        <row r="176">
          <cell r="A176" t="str">
            <v>BASML</v>
          </cell>
          <cell r="B176">
            <v>3327</v>
          </cell>
        </row>
        <row r="177">
          <cell r="A177" t="str">
            <v>BATAINDIA</v>
          </cell>
          <cell r="B177">
            <v>1561853</v>
          </cell>
        </row>
        <row r="178">
          <cell r="A178" t="str">
            <v>BAYERCROP</v>
          </cell>
          <cell r="B178">
            <v>12217</v>
          </cell>
        </row>
        <row r="179">
          <cell r="A179" t="str">
            <v>BBL</v>
          </cell>
          <cell r="B179">
            <v>4261</v>
          </cell>
        </row>
        <row r="180">
          <cell r="A180" t="str">
            <v>BBTC</v>
          </cell>
          <cell r="B180">
            <v>84431</v>
          </cell>
        </row>
        <row r="181">
          <cell r="A181" t="str">
            <v>BCG</v>
          </cell>
          <cell r="B181">
            <v>151659</v>
          </cell>
        </row>
        <row r="182">
          <cell r="A182" t="str">
            <v>BCP</v>
          </cell>
          <cell r="B182">
            <v>76947</v>
          </cell>
        </row>
        <row r="183">
          <cell r="A183" t="str">
            <v>BDL</v>
          </cell>
          <cell r="B183">
            <v>51893</v>
          </cell>
        </row>
        <row r="184">
          <cell r="A184" t="str">
            <v>BEARDSELL</v>
          </cell>
          <cell r="B184">
            <v>2548</v>
          </cell>
        </row>
        <row r="185">
          <cell r="A185" t="str">
            <v>BEDMUTHA</v>
          </cell>
          <cell r="B185">
            <v>7904</v>
          </cell>
        </row>
        <row r="186">
          <cell r="A186" t="str">
            <v>BEL</v>
          </cell>
          <cell r="B186">
            <v>17110089</v>
          </cell>
        </row>
        <row r="187">
          <cell r="A187" t="str">
            <v>BEML</v>
          </cell>
          <cell r="B187">
            <v>453013</v>
          </cell>
        </row>
        <row r="188">
          <cell r="A188" t="str">
            <v>BEPL</v>
          </cell>
          <cell r="B188">
            <v>360562</v>
          </cell>
        </row>
        <row r="189">
          <cell r="A189" t="str">
            <v>BERGEPAINT</v>
          </cell>
          <cell r="B189">
            <v>2294731</v>
          </cell>
        </row>
        <row r="190">
          <cell r="A190" t="str">
            <v>BETA</v>
          </cell>
          <cell r="B190">
            <v>6400</v>
          </cell>
        </row>
        <row r="191">
          <cell r="A191" t="str">
            <v>BFINVEST</v>
          </cell>
          <cell r="B191">
            <v>19193</v>
          </cell>
        </row>
        <row r="192">
          <cell r="A192" t="str">
            <v>BFUTILITIE</v>
          </cell>
          <cell r="B192">
            <v>91347</v>
          </cell>
        </row>
        <row r="193">
          <cell r="A193" t="str">
            <v>BGRENERGY</v>
          </cell>
          <cell r="B193">
            <v>176793</v>
          </cell>
        </row>
        <row r="194">
          <cell r="A194" t="str">
            <v>BHAGERIA</v>
          </cell>
          <cell r="B194">
            <v>64928</v>
          </cell>
        </row>
        <row r="195">
          <cell r="A195" t="str">
            <v>BHAGYANGR</v>
          </cell>
          <cell r="B195">
            <v>10906</v>
          </cell>
        </row>
        <row r="196">
          <cell r="A196" t="str">
            <v>BHAGYAPROP</v>
          </cell>
          <cell r="B196">
            <v>1536</v>
          </cell>
        </row>
        <row r="197">
          <cell r="A197" t="str">
            <v>BHANDARI</v>
          </cell>
          <cell r="B197">
            <v>178575</v>
          </cell>
        </row>
        <row r="198">
          <cell r="A198" t="str">
            <v>BHARATFORG</v>
          </cell>
          <cell r="B198">
            <v>8508750</v>
          </cell>
        </row>
        <row r="199">
          <cell r="A199" t="str">
            <v>BHARATRAS</v>
          </cell>
          <cell r="B199">
            <v>2374</v>
          </cell>
        </row>
        <row r="200">
          <cell r="A200" t="str">
            <v>BHARATWIRE</v>
          </cell>
          <cell r="B200">
            <v>51688</v>
          </cell>
        </row>
        <row r="201">
          <cell r="A201" t="str">
            <v>BHARTIARTL</v>
          </cell>
          <cell r="B201">
            <v>19799179</v>
          </cell>
        </row>
        <row r="202">
          <cell r="A202" t="str">
            <v>BHEL</v>
          </cell>
          <cell r="B202">
            <v>56261295</v>
          </cell>
        </row>
        <row r="203">
          <cell r="A203" t="str">
            <v>BIGBLOC</v>
          </cell>
          <cell r="B203">
            <v>4212</v>
          </cell>
        </row>
        <row r="204">
          <cell r="A204" t="str">
            <v>BIL</v>
          </cell>
          <cell r="B204">
            <v>516</v>
          </cell>
        </row>
        <row r="205">
          <cell r="A205" t="str">
            <v>BILENERGY</v>
          </cell>
          <cell r="B205">
            <v>1834543</v>
          </cell>
        </row>
        <row r="206">
          <cell r="A206" t="str">
            <v>BINDALAGRO</v>
          </cell>
          <cell r="B206">
            <v>31163</v>
          </cell>
        </row>
        <row r="207">
          <cell r="A207" t="str">
            <v>BIOCON</v>
          </cell>
          <cell r="B207">
            <v>5869794</v>
          </cell>
        </row>
        <row r="208">
          <cell r="A208" t="str">
            <v>BIOFILCHEM</v>
          </cell>
          <cell r="B208">
            <v>94158</v>
          </cell>
        </row>
        <row r="209">
          <cell r="A209" t="str">
            <v>BIRLACABLE</v>
          </cell>
          <cell r="B209">
            <v>60461</v>
          </cell>
        </row>
        <row r="210">
          <cell r="A210" t="str">
            <v>BIRLACORPN</v>
          </cell>
          <cell r="B210">
            <v>242045</v>
          </cell>
        </row>
        <row r="211">
          <cell r="A211" t="str">
            <v>BIRLAMONEY</v>
          </cell>
          <cell r="B211">
            <v>456011</v>
          </cell>
        </row>
        <row r="212">
          <cell r="A212" t="str">
            <v>BIRLATYRE</v>
          </cell>
          <cell r="B212">
            <v>318817</v>
          </cell>
        </row>
        <row r="213">
          <cell r="A213" t="str">
            <v>BLBLIMITED</v>
          </cell>
          <cell r="B213">
            <v>18580</v>
          </cell>
        </row>
        <row r="214">
          <cell r="A214" t="str">
            <v>BLISSGVS</v>
          </cell>
          <cell r="B214">
            <v>203037</v>
          </cell>
        </row>
        <row r="215">
          <cell r="A215" t="str">
            <v>BLS</v>
          </cell>
          <cell r="B215">
            <v>78487</v>
          </cell>
        </row>
        <row r="216">
          <cell r="A216" t="str">
            <v>BLUEDART</v>
          </cell>
          <cell r="B216">
            <v>13217</v>
          </cell>
        </row>
        <row r="217">
          <cell r="A217" t="str">
            <v>BLUESTARCO</v>
          </cell>
          <cell r="B217">
            <v>61193</v>
          </cell>
        </row>
        <row r="218">
          <cell r="A218" t="str">
            <v>BODALCHEM</v>
          </cell>
          <cell r="B218">
            <v>267305</v>
          </cell>
        </row>
        <row r="219">
          <cell r="A219" t="str">
            <v>BOHRA</v>
          </cell>
          <cell r="B219">
            <v>6000</v>
          </cell>
        </row>
        <row r="220">
          <cell r="A220" t="str">
            <v>BOMDYEING</v>
          </cell>
          <cell r="B220">
            <v>1081162</v>
          </cell>
        </row>
        <row r="221">
          <cell r="A221" t="str">
            <v>BORORENEW</v>
          </cell>
          <cell r="B221">
            <v>236693</v>
          </cell>
        </row>
        <row r="222">
          <cell r="A222" t="str">
            <v>BOSCHLTD</v>
          </cell>
          <cell r="B222">
            <v>71220</v>
          </cell>
        </row>
        <row r="223">
          <cell r="A223" t="str">
            <v>BPCL</v>
          </cell>
          <cell r="B223">
            <v>8008429</v>
          </cell>
        </row>
        <row r="224">
          <cell r="A224" t="str">
            <v>BRIGADE</v>
          </cell>
          <cell r="B224">
            <v>224645</v>
          </cell>
        </row>
        <row r="225">
          <cell r="A225" t="str">
            <v>BRIGHT</v>
          </cell>
          <cell r="B225">
            <v>6000</v>
          </cell>
        </row>
        <row r="226">
          <cell r="A226" t="str">
            <v>BRITANNIA</v>
          </cell>
          <cell r="B226">
            <v>1021592</v>
          </cell>
        </row>
        <row r="227">
          <cell r="A227" t="str">
            <v>BRITANNIA</v>
          </cell>
          <cell r="B227">
            <v>11533</v>
          </cell>
        </row>
        <row r="228">
          <cell r="A228" t="str">
            <v>BRNL</v>
          </cell>
          <cell r="B228">
            <v>2692</v>
          </cell>
        </row>
        <row r="229">
          <cell r="A229" t="str">
            <v>BROOKS</v>
          </cell>
          <cell r="B229">
            <v>12131</v>
          </cell>
        </row>
        <row r="230">
          <cell r="A230" t="str">
            <v>BSE</v>
          </cell>
          <cell r="B230">
            <v>719586</v>
          </cell>
        </row>
        <row r="231">
          <cell r="A231" t="str">
            <v>BSELINFRA</v>
          </cell>
          <cell r="B231">
            <v>902</v>
          </cell>
        </row>
        <row r="232">
          <cell r="A232" t="str">
            <v>BSHSL</v>
          </cell>
          <cell r="B232">
            <v>1200</v>
          </cell>
        </row>
        <row r="233">
          <cell r="A233" t="str">
            <v>BSL</v>
          </cell>
          <cell r="B233">
            <v>3558</v>
          </cell>
        </row>
        <row r="234">
          <cell r="A234" t="str">
            <v>BSLGOLDETF</v>
          </cell>
          <cell r="B234">
            <v>370</v>
          </cell>
        </row>
        <row r="235">
          <cell r="A235" t="str">
            <v>BSLNIFTY</v>
          </cell>
          <cell r="B235">
            <v>1035</v>
          </cell>
        </row>
        <row r="236">
          <cell r="A236" t="str">
            <v>BSOFT</v>
          </cell>
          <cell r="B236">
            <v>611203</v>
          </cell>
        </row>
        <row r="237">
          <cell r="A237" t="str">
            <v>BURNPUR</v>
          </cell>
          <cell r="B237">
            <v>58985</v>
          </cell>
        </row>
        <row r="238">
          <cell r="A238" t="str">
            <v>BUTTERFLY</v>
          </cell>
          <cell r="B238">
            <v>87475</v>
          </cell>
        </row>
        <row r="239">
          <cell r="A239" t="str">
            <v>BYKE</v>
          </cell>
          <cell r="B239">
            <v>71246</v>
          </cell>
        </row>
        <row r="240">
          <cell r="A240" t="str">
            <v>CADILAHC</v>
          </cell>
          <cell r="B240">
            <v>5084577</v>
          </cell>
        </row>
        <row r="241">
          <cell r="A241" t="str">
            <v>CAMLINFINE</v>
          </cell>
          <cell r="B241">
            <v>712850</v>
          </cell>
        </row>
        <row r="242">
          <cell r="A242" t="str">
            <v>CANBK</v>
          </cell>
          <cell r="B242">
            <v>14278203</v>
          </cell>
        </row>
        <row r="243">
          <cell r="A243" t="str">
            <v>CANFINHOME</v>
          </cell>
          <cell r="B243">
            <v>734522</v>
          </cell>
        </row>
        <row r="244">
          <cell r="A244" t="str">
            <v>CANTABIL</v>
          </cell>
          <cell r="B244">
            <v>57836</v>
          </cell>
        </row>
        <row r="245">
          <cell r="A245" t="str">
            <v>CAPACITE</v>
          </cell>
          <cell r="B245">
            <v>155561</v>
          </cell>
        </row>
        <row r="246">
          <cell r="A246" t="str">
            <v>CAPLIPOINT</v>
          </cell>
          <cell r="B246">
            <v>156847</v>
          </cell>
        </row>
        <row r="247">
          <cell r="A247" t="str">
            <v>CAPTRUST</v>
          </cell>
          <cell r="B247">
            <v>2903</v>
          </cell>
        </row>
        <row r="248">
          <cell r="A248" t="str">
            <v>CARBORUNIV</v>
          </cell>
          <cell r="B248">
            <v>53659</v>
          </cell>
        </row>
        <row r="249">
          <cell r="A249" t="str">
            <v>CAREERP</v>
          </cell>
          <cell r="B249">
            <v>75313</v>
          </cell>
        </row>
        <row r="250">
          <cell r="A250" t="str">
            <v>CARERATING</v>
          </cell>
          <cell r="B250">
            <v>184438</v>
          </cell>
        </row>
        <row r="251">
          <cell r="A251" t="str">
            <v>CASTROLIND</v>
          </cell>
          <cell r="B251">
            <v>1462098</v>
          </cell>
        </row>
        <row r="252">
          <cell r="A252" t="str">
            <v>CCL</v>
          </cell>
          <cell r="B252">
            <v>69265</v>
          </cell>
        </row>
        <row r="253">
          <cell r="A253" t="str">
            <v>CDSL</v>
          </cell>
          <cell r="B253">
            <v>751330</v>
          </cell>
        </row>
        <row r="254">
          <cell r="A254" t="str">
            <v>CEATLTD</v>
          </cell>
          <cell r="B254">
            <v>498362</v>
          </cell>
        </row>
        <row r="255">
          <cell r="A255" t="str">
            <v>CEBBCO</v>
          </cell>
          <cell r="B255">
            <v>45043</v>
          </cell>
        </row>
        <row r="256">
          <cell r="A256" t="str">
            <v>CELEBRITY</v>
          </cell>
          <cell r="B256">
            <v>22891</v>
          </cell>
        </row>
        <row r="257">
          <cell r="A257" t="str">
            <v>CENTENKA</v>
          </cell>
          <cell r="B257">
            <v>13918</v>
          </cell>
        </row>
        <row r="258">
          <cell r="A258" t="str">
            <v>CENTEXT</v>
          </cell>
          <cell r="B258">
            <v>83534</v>
          </cell>
        </row>
        <row r="259">
          <cell r="A259" t="str">
            <v>CENTRALBK</v>
          </cell>
          <cell r="B259">
            <v>945914</v>
          </cell>
        </row>
        <row r="260">
          <cell r="A260" t="str">
            <v>CENTRUM</v>
          </cell>
          <cell r="B260">
            <v>204758</v>
          </cell>
        </row>
        <row r="261">
          <cell r="A261" t="str">
            <v>CENTUM</v>
          </cell>
          <cell r="B261">
            <v>10024</v>
          </cell>
        </row>
        <row r="262">
          <cell r="A262" t="str">
            <v>CENTURYPLY</v>
          </cell>
          <cell r="B262">
            <v>559609</v>
          </cell>
        </row>
        <row r="263">
          <cell r="A263" t="str">
            <v>CENTURYTEX</v>
          </cell>
          <cell r="B263">
            <v>2437836</v>
          </cell>
        </row>
        <row r="264">
          <cell r="A264" t="str">
            <v>CERA</v>
          </cell>
          <cell r="B264">
            <v>7221</v>
          </cell>
        </row>
        <row r="265">
          <cell r="A265" t="str">
            <v>CESC</v>
          </cell>
          <cell r="B265">
            <v>1303694</v>
          </cell>
        </row>
        <row r="266">
          <cell r="A266" t="str">
            <v>CESCVENT</v>
          </cell>
          <cell r="B266">
            <v>20636</v>
          </cell>
        </row>
        <row r="267">
          <cell r="A267" t="str">
            <v>CGCL</v>
          </cell>
          <cell r="B267">
            <v>568655</v>
          </cell>
        </row>
        <row r="268">
          <cell r="A268" t="str">
            <v>CGPOWER</v>
          </cell>
          <cell r="B268">
            <v>516141</v>
          </cell>
        </row>
        <row r="269">
          <cell r="A269" t="str">
            <v>CHALET</v>
          </cell>
          <cell r="B269">
            <v>531377</v>
          </cell>
        </row>
        <row r="270">
          <cell r="A270" t="str">
            <v>CHAMBLFERT</v>
          </cell>
          <cell r="B270">
            <v>889549</v>
          </cell>
        </row>
        <row r="271">
          <cell r="A271" t="str">
            <v>CHEMBOND</v>
          </cell>
          <cell r="B271">
            <v>2540</v>
          </cell>
        </row>
        <row r="272">
          <cell r="A272" t="str">
            <v>CHEMFAB</v>
          </cell>
          <cell r="B272">
            <v>7272</v>
          </cell>
        </row>
        <row r="273">
          <cell r="A273" t="str">
            <v>CHENNPETRO</v>
          </cell>
          <cell r="B273">
            <v>926553</v>
          </cell>
        </row>
        <row r="274">
          <cell r="A274" t="str">
            <v>CHOLAFIN</v>
          </cell>
          <cell r="B274">
            <v>18444012</v>
          </cell>
        </row>
        <row r="275">
          <cell r="A275" t="str">
            <v>CHOLAHLDNG</v>
          </cell>
          <cell r="B275">
            <v>117866</v>
          </cell>
        </row>
        <row r="276">
          <cell r="A276" t="str">
            <v>CHROMATIC</v>
          </cell>
          <cell r="B276">
            <v>16856</v>
          </cell>
        </row>
        <row r="277">
          <cell r="A277" t="str">
            <v>CIGNITITEC</v>
          </cell>
          <cell r="B277">
            <v>40212</v>
          </cell>
        </row>
        <row r="278">
          <cell r="A278" t="str">
            <v>CIMMCO</v>
          </cell>
          <cell r="B278">
            <v>19278</v>
          </cell>
        </row>
        <row r="279">
          <cell r="A279" t="str">
            <v>CINELINE</v>
          </cell>
          <cell r="B279">
            <v>14868</v>
          </cell>
        </row>
        <row r="280">
          <cell r="A280" t="str">
            <v>CIPLA</v>
          </cell>
          <cell r="B280">
            <v>9100084</v>
          </cell>
        </row>
        <row r="281">
          <cell r="A281" t="str">
            <v>CLEDUCATE</v>
          </cell>
          <cell r="B281">
            <v>41956</v>
          </cell>
        </row>
        <row r="282">
          <cell r="A282" t="str">
            <v>CLNINDIA</v>
          </cell>
          <cell r="B282">
            <v>83474</v>
          </cell>
        </row>
        <row r="283">
          <cell r="A283" t="str">
            <v>CMICABLES</v>
          </cell>
          <cell r="B283">
            <v>75045</v>
          </cell>
        </row>
        <row r="284">
          <cell r="A284" t="str">
            <v>COALINDIA</v>
          </cell>
          <cell r="B284">
            <v>13146077</v>
          </cell>
        </row>
        <row r="285">
          <cell r="A285" t="str">
            <v>COCHINSHIP</v>
          </cell>
          <cell r="B285">
            <v>207383</v>
          </cell>
        </row>
        <row r="286">
          <cell r="A286" t="str">
            <v>COLPAL</v>
          </cell>
          <cell r="B286">
            <v>1673537</v>
          </cell>
        </row>
        <row r="287">
          <cell r="A287" t="str">
            <v>COMPINFO</v>
          </cell>
          <cell r="B287">
            <v>21424</v>
          </cell>
        </row>
        <row r="288">
          <cell r="A288" t="str">
            <v>CONCOR</v>
          </cell>
          <cell r="B288">
            <v>1463582</v>
          </cell>
        </row>
        <row r="289">
          <cell r="A289" t="str">
            <v>CONFIPET</v>
          </cell>
          <cell r="B289">
            <v>208659</v>
          </cell>
        </row>
        <row r="290">
          <cell r="A290" t="str">
            <v>CONSOFINVT</v>
          </cell>
          <cell r="B290">
            <v>387</v>
          </cell>
        </row>
        <row r="291">
          <cell r="A291" t="str">
            <v>CONTI</v>
          </cell>
          <cell r="B291">
            <v>6666</v>
          </cell>
        </row>
        <row r="292">
          <cell r="A292" t="str">
            <v>CONTROLPR</v>
          </cell>
          <cell r="B292">
            <v>9474</v>
          </cell>
        </row>
        <row r="293">
          <cell r="A293" t="str">
            <v>CORALFINAC</v>
          </cell>
          <cell r="B293">
            <v>16614</v>
          </cell>
        </row>
        <row r="294">
          <cell r="A294" t="str">
            <v>CORDSCABLE</v>
          </cell>
          <cell r="B294">
            <v>9803</v>
          </cell>
        </row>
        <row r="295">
          <cell r="A295" t="str">
            <v>COROMANDEL</v>
          </cell>
          <cell r="B295">
            <v>699429</v>
          </cell>
        </row>
        <row r="296">
          <cell r="A296" t="str">
            <v>COSMOFILMS</v>
          </cell>
          <cell r="B296">
            <v>86056</v>
          </cell>
        </row>
        <row r="297">
          <cell r="A297" t="str">
            <v>COUNCODOS</v>
          </cell>
          <cell r="B297">
            <v>9665</v>
          </cell>
        </row>
        <row r="298">
          <cell r="A298" t="str">
            <v>CPSEETF</v>
          </cell>
          <cell r="B298">
            <v>5043586</v>
          </cell>
        </row>
        <row r="299">
          <cell r="A299" t="str">
            <v>CREATIVE</v>
          </cell>
          <cell r="B299">
            <v>1350</v>
          </cell>
        </row>
        <row r="300">
          <cell r="A300" t="str">
            <v>CREATIVEYE</v>
          </cell>
          <cell r="B300">
            <v>100</v>
          </cell>
        </row>
        <row r="301">
          <cell r="A301" t="str">
            <v>CREDITACC</v>
          </cell>
          <cell r="B301">
            <v>77903</v>
          </cell>
        </row>
        <row r="302">
          <cell r="A302" t="str">
            <v>CREST</v>
          </cell>
          <cell r="B302">
            <v>4344</v>
          </cell>
        </row>
        <row r="303">
          <cell r="A303" t="str">
            <v>CRISIL</v>
          </cell>
          <cell r="B303">
            <v>32550</v>
          </cell>
        </row>
        <row r="304">
          <cell r="A304" t="str">
            <v>CROMPTON</v>
          </cell>
          <cell r="B304">
            <v>1834769</v>
          </cell>
        </row>
        <row r="305">
          <cell r="A305" t="str">
            <v>CSBBANK</v>
          </cell>
          <cell r="B305">
            <v>259909</v>
          </cell>
        </row>
        <row r="306">
          <cell r="A306" t="str">
            <v>CTE</v>
          </cell>
          <cell r="B306">
            <v>1670</v>
          </cell>
        </row>
        <row r="307">
          <cell r="A307" t="str">
            <v>CUB</v>
          </cell>
          <cell r="B307">
            <v>4230190</v>
          </cell>
        </row>
        <row r="308">
          <cell r="A308" t="str">
            <v>CUMMINSIND</v>
          </cell>
          <cell r="B308">
            <v>1797179</v>
          </cell>
        </row>
        <row r="309">
          <cell r="A309" t="str">
            <v>CUPID</v>
          </cell>
          <cell r="B309">
            <v>33134</v>
          </cell>
        </row>
        <row r="310">
          <cell r="A310" t="str">
            <v>CYBERTECH</v>
          </cell>
          <cell r="B310">
            <v>11890</v>
          </cell>
        </row>
        <row r="311">
          <cell r="A311" t="str">
            <v>CYIENT</v>
          </cell>
          <cell r="B311">
            <v>4044886</v>
          </cell>
        </row>
        <row r="312">
          <cell r="A312" t="str">
            <v>DAAWAT</v>
          </cell>
          <cell r="B312">
            <v>332244</v>
          </cell>
        </row>
        <row r="313">
          <cell r="A313" t="str">
            <v>DABUR</v>
          </cell>
          <cell r="B313">
            <v>4295419</v>
          </cell>
        </row>
        <row r="314">
          <cell r="A314" t="str">
            <v>DALBHARAT</v>
          </cell>
          <cell r="B314">
            <v>149172</v>
          </cell>
        </row>
        <row r="315">
          <cell r="A315" t="str">
            <v>DALMIASUG</v>
          </cell>
          <cell r="B315">
            <v>46158</v>
          </cell>
        </row>
        <row r="316">
          <cell r="A316" t="str">
            <v>DAMODARIND</v>
          </cell>
          <cell r="B316">
            <v>8467</v>
          </cell>
        </row>
        <row r="317">
          <cell r="A317" t="str">
            <v>DATAMATICS</v>
          </cell>
          <cell r="B317">
            <v>26992</v>
          </cell>
        </row>
        <row r="318">
          <cell r="A318" t="str">
            <v>DBCORP</v>
          </cell>
          <cell r="B318">
            <v>188076</v>
          </cell>
        </row>
        <row r="319">
          <cell r="A319" t="str">
            <v>DBL</v>
          </cell>
          <cell r="B319">
            <v>930269</v>
          </cell>
        </row>
        <row r="320">
          <cell r="A320" t="str">
            <v>DBREALTY</v>
          </cell>
          <cell r="B320">
            <v>531218</v>
          </cell>
        </row>
        <row r="321">
          <cell r="A321" t="str">
            <v>DBSTOCKBRO</v>
          </cell>
          <cell r="B321">
            <v>13</v>
          </cell>
        </row>
        <row r="322">
          <cell r="A322" t="str">
            <v>DCAL</v>
          </cell>
          <cell r="B322">
            <v>159977</v>
          </cell>
        </row>
        <row r="323">
          <cell r="A323" t="str">
            <v>DCBBANK</v>
          </cell>
          <cell r="B323">
            <v>6456615</v>
          </cell>
        </row>
        <row r="324">
          <cell r="A324" t="str">
            <v>DCM</v>
          </cell>
          <cell r="B324">
            <v>6175</v>
          </cell>
        </row>
        <row r="325">
          <cell r="A325" t="str">
            <v>DCMNVL</v>
          </cell>
          <cell r="B325">
            <v>1098</v>
          </cell>
        </row>
        <row r="326">
          <cell r="A326" t="str">
            <v>DCMSHRIRAM</v>
          </cell>
          <cell r="B326">
            <v>145072</v>
          </cell>
        </row>
        <row r="327">
          <cell r="A327" t="str">
            <v>DCW</v>
          </cell>
          <cell r="B327">
            <v>362430</v>
          </cell>
        </row>
        <row r="328">
          <cell r="A328" t="str">
            <v>DECCANCE</v>
          </cell>
          <cell r="B328">
            <v>9911</v>
          </cell>
        </row>
        <row r="329">
          <cell r="A329" t="str">
            <v>DEEPAKFERT</v>
          </cell>
          <cell r="B329">
            <v>1138701</v>
          </cell>
        </row>
        <row r="330">
          <cell r="A330" t="str">
            <v>DEEPAKNTR</v>
          </cell>
          <cell r="B330">
            <v>1657681</v>
          </cell>
        </row>
        <row r="331">
          <cell r="A331" t="str">
            <v>DEEPIND</v>
          </cell>
          <cell r="B331">
            <v>16875</v>
          </cell>
        </row>
        <row r="332">
          <cell r="A332" t="str">
            <v>DELTACORP</v>
          </cell>
          <cell r="B332">
            <v>2870498</v>
          </cell>
        </row>
        <row r="333">
          <cell r="A333" t="str">
            <v>DEN</v>
          </cell>
          <cell r="B333">
            <v>46039</v>
          </cell>
        </row>
        <row r="334">
          <cell r="A334" t="str">
            <v>DENORA</v>
          </cell>
          <cell r="B334">
            <v>6829</v>
          </cell>
        </row>
        <row r="335">
          <cell r="A335" t="str">
            <v>DEVIT</v>
          </cell>
          <cell r="B335">
            <v>1500</v>
          </cell>
        </row>
        <row r="336">
          <cell r="A336" t="str">
            <v>DFMFOODS</v>
          </cell>
          <cell r="B336">
            <v>43878</v>
          </cell>
        </row>
        <row r="337">
          <cell r="A337" t="str">
            <v>DGCONTENT</v>
          </cell>
          <cell r="B337">
            <v>12593</v>
          </cell>
        </row>
        <row r="338">
          <cell r="A338" t="str">
            <v>DHAMPURSUG</v>
          </cell>
          <cell r="B338">
            <v>198625</v>
          </cell>
        </row>
        <row r="339">
          <cell r="A339" t="str">
            <v>DHANBANK</v>
          </cell>
          <cell r="B339">
            <v>211783</v>
          </cell>
        </row>
        <row r="340">
          <cell r="A340" t="str">
            <v>DHANUKA</v>
          </cell>
          <cell r="B340">
            <v>31638</v>
          </cell>
        </row>
        <row r="341">
          <cell r="A341" t="str">
            <v>DHFL</v>
          </cell>
          <cell r="B341">
            <v>1821347</v>
          </cell>
        </row>
        <row r="342">
          <cell r="A342" t="str">
            <v>DHFL</v>
          </cell>
          <cell r="B342">
            <v>50</v>
          </cell>
        </row>
        <row r="343">
          <cell r="A343" t="str">
            <v>DHFL</v>
          </cell>
          <cell r="B343">
            <v>11</v>
          </cell>
        </row>
        <row r="344">
          <cell r="A344" t="str">
            <v>DHFL</v>
          </cell>
          <cell r="B344">
            <v>1</v>
          </cell>
        </row>
        <row r="345">
          <cell r="A345" t="str">
            <v>DHFL</v>
          </cell>
          <cell r="B345">
            <v>167</v>
          </cell>
        </row>
        <row r="346">
          <cell r="A346" t="str">
            <v>DHFL</v>
          </cell>
          <cell r="B346">
            <v>440</v>
          </cell>
        </row>
        <row r="347">
          <cell r="A347" t="str">
            <v>DHFL</v>
          </cell>
          <cell r="B347">
            <v>22</v>
          </cell>
        </row>
        <row r="348">
          <cell r="A348" t="str">
            <v>DHFL</v>
          </cell>
          <cell r="B348">
            <v>171</v>
          </cell>
        </row>
        <row r="349">
          <cell r="A349" t="str">
            <v>DHFL</v>
          </cell>
          <cell r="B349">
            <v>60</v>
          </cell>
        </row>
        <row r="350">
          <cell r="A350" t="str">
            <v>DHFL</v>
          </cell>
          <cell r="B350">
            <v>154</v>
          </cell>
        </row>
        <row r="351">
          <cell r="A351" t="str">
            <v>DHFL</v>
          </cell>
          <cell r="B351">
            <v>2</v>
          </cell>
        </row>
        <row r="352">
          <cell r="A352" t="str">
            <v>DHUNINV</v>
          </cell>
          <cell r="B352">
            <v>2455</v>
          </cell>
        </row>
        <row r="353">
          <cell r="A353" t="str">
            <v>DIAMONDYD</v>
          </cell>
          <cell r="B353">
            <v>73845</v>
          </cell>
        </row>
        <row r="354">
          <cell r="A354" t="str">
            <v>DICIND</v>
          </cell>
          <cell r="B354">
            <v>1863</v>
          </cell>
        </row>
        <row r="355">
          <cell r="A355" t="str">
            <v>DIGISPICE</v>
          </cell>
          <cell r="B355">
            <v>5699</v>
          </cell>
        </row>
        <row r="356">
          <cell r="A356" t="str">
            <v>DISHTV</v>
          </cell>
          <cell r="B356">
            <v>5804213</v>
          </cell>
        </row>
        <row r="357">
          <cell r="A357" t="str">
            <v>DIVISLAB</v>
          </cell>
          <cell r="B357">
            <v>843164</v>
          </cell>
        </row>
        <row r="358">
          <cell r="A358" t="str">
            <v>DIXON</v>
          </cell>
          <cell r="B358">
            <v>140959</v>
          </cell>
        </row>
        <row r="359">
          <cell r="A359" t="str">
            <v>DLF</v>
          </cell>
          <cell r="B359">
            <v>12818946</v>
          </cell>
        </row>
        <row r="360">
          <cell r="A360" t="str">
            <v>DLINKINDIA</v>
          </cell>
          <cell r="B360">
            <v>137726</v>
          </cell>
        </row>
        <row r="361">
          <cell r="A361" t="str">
            <v>DOLAT</v>
          </cell>
          <cell r="B361">
            <v>155738</v>
          </cell>
        </row>
        <row r="362">
          <cell r="A362" t="str">
            <v>DOLLAR</v>
          </cell>
          <cell r="B362">
            <v>349759</v>
          </cell>
        </row>
        <row r="363">
          <cell r="A363" t="str">
            <v>DONEAR</v>
          </cell>
          <cell r="B363">
            <v>134637</v>
          </cell>
        </row>
        <row r="364">
          <cell r="A364" t="str">
            <v>DPSCLTD</v>
          </cell>
          <cell r="B364">
            <v>11597</v>
          </cell>
        </row>
        <row r="365">
          <cell r="A365" t="str">
            <v>DPWIRES</v>
          </cell>
          <cell r="B365">
            <v>632</v>
          </cell>
        </row>
        <row r="366">
          <cell r="A366" t="str">
            <v>DREDGECORP</v>
          </cell>
          <cell r="B366">
            <v>330892</v>
          </cell>
        </row>
        <row r="367">
          <cell r="A367" t="str">
            <v>DRREDDY</v>
          </cell>
          <cell r="B367">
            <v>2178034</v>
          </cell>
        </row>
        <row r="368">
          <cell r="A368" t="str">
            <v>DSML</v>
          </cell>
          <cell r="B368">
            <v>6000</v>
          </cell>
        </row>
        <row r="369">
          <cell r="A369" t="str">
            <v>DSSL</v>
          </cell>
          <cell r="B369">
            <v>7453</v>
          </cell>
        </row>
        <row r="370">
          <cell r="A370" t="str">
            <v>DTIL</v>
          </cell>
          <cell r="B370">
            <v>2909</v>
          </cell>
        </row>
        <row r="371">
          <cell r="A371" t="str">
            <v>DVL</v>
          </cell>
          <cell r="B371">
            <v>4420</v>
          </cell>
        </row>
        <row r="372">
          <cell r="A372" t="str">
            <v>DWARKESH</v>
          </cell>
          <cell r="B372">
            <v>626607</v>
          </cell>
        </row>
        <row r="373">
          <cell r="A373" t="str">
            <v>DYNAMATECH</v>
          </cell>
          <cell r="B373">
            <v>2591</v>
          </cell>
        </row>
        <row r="374">
          <cell r="A374" t="str">
            <v>DYNPRO</v>
          </cell>
          <cell r="B374">
            <v>34183</v>
          </cell>
        </row>
        <row r="375">
          <cell r="A375" t="str">
            <v>EASTSILK</v>
          </cell>
          <cell r="B375">
            <v>8863</v>
          </cell>
        </row>
        <row r="376">
          <cell r="A376" t="str">
            <v>EBBETF0423</v>
          </cell>
          <cell r="B376">
            <v>48692</v>
          </cell>
        </row>
        <row r="377">
          <cell r="A377" t="str">
            <v>EBBETF0430</v>
          </cell>
          <cell r="B377">
            <v>33209</v>
          </cell>
        </row>
        <row r="378">
          <cell r="A378" t="str">
            <v>ECLERX</v>
          </cell>
          <cell r="B378">
            <v>17719</v>
          </cell>
        </row>
        <row r="379">
          <cell r="A379" t="str">
            <v>ECLFINANCE</v>
          </cell>
          <cell r="B379">
            <v>115</v>
          </cell>
        </row>
        <row r="380">
          <cell r="A380" t="str">
            <v>ECLFINANCE</v>
          </cell>
          <cell r="B380">
            <v>500</v>
          </cell>
        </row>
        <row r="381">
          <cell r="A381" t="str">
            <v>ECLFINANCE</v>
          </cell>
          <cell r="B381">
            <v>160</v>
          </cell>
        </row>
        <row r="382">
          <cell r="A382" t="str">
            <v>ECLFINANCE</v>
          </cell>
          <cell r="B382">
            <v>426</v>
          </cell>
        </row>
        <row r="383">
          <cell r="A383" t="str">
            <v>ECLFINANCE</v>
          </cell>
          <cell r="B383">
            <v>34</v>
          </cell>
        </row>
        <row r="384">
          <cell r="A384" t="str">
            <v>ECLFINANCE</v>
          </cell>
          <cell r="B384">
            <v>377</v>
          </cell>
        </row>
        <row r="385">
          <cell r="A385" t="str">
            <v>ECLFINANCE</v>
          </cell>
          <cell r="B385">
            <v>40</v>
          </cell>
        </row>
        <row r="386">
          <cell r="A386" t="str">
            <v>ECLFINANCE</v>
          </cell>
          <cell r="B386">
            <v>500</v>
          </cell>
        </row>
        <row r="387">
          <cell r="A387" t="str">
            <v>ECLFINANCE</v>
          </cell>
          <cell r="B387">
            <v>170</v>
          </cell>
        </row>
        <row r="388">
          <cell r="A388" t="str">
            <v>ECLFINANCE</v>
          </cell>
          <cell r="B388">
            <v>100</v>
          </cell>
        </row>
        <row r="389">
          <cell r="A389" t="str">
            <v>ECLFINANCE</v>
          </cell>
          <cell r="B389">
            <v>509</v>
          </cell>
        </row>
        <row r="390">
          <cell r="A390" t="str">
            <v>ECLFINANCE</v>
          </cell>
          <cell r="B390">
            <v>4</v>
          </cell>
        </row>
        <row r="391">
          <cell r="A391" t="str">
            <v>EDELWEISS</v>
          </cell>
          <cell r="B391">
            <v>3034777</v>
          </cell>
        </row>
        <row r="392">
          <cell r="A392" t="str">
            <v>EHFLNCD</v>
          </cell>
          <cell r="B392">
            <v>100</v>
          </cell>
        </row>
        <row r="393">
          <cell r="A393" t="str">
            <v>EHFLNCD</v>
          </cell>
          <cell r="B393">
            <v>151</v>
          </cell>
        </row>
        <row r="394">
          <cell r="A394" t="str">
            <v>EHFLNCD</v>
          </cell>
          <cell r="B394">
            <v>873</v>
          </cell>
        </row>
        <row r="395">
          <cell r="A395" t="str">
            <v>EICHERMOT</v>
          </cell>
          <cell r="B395">
            <v>347244</v>
          </cell>
        </row>
        <row r="396">
          <cell r="A396" t="str">
            <v>EIDPARRY</v>
          </cell>
          <cell r="B396">
            <v>253790</v>
          </cell>
        </row>
        <row r="397">
          <cell r="A397" t="str">
            <v>EIFFL</v>
          </cell>
          <cell r="B397">
            <v>3200</v>
          </cell>
        </row>
        <row r="398">
          <cell r="A398" t="str">
            <v>EIHAHOTELS</v>
          </cell>
          <cell r="B398">
            <v>2236</v>
          </cell>
        </row>
        <row r="399">
          <cell r="A399" t="str">
            <v>EIHOTEL</v>
          </cell>
          <cell r="B399">
            <v>727588</v>
          </cell>
        </row>
        <row r="400">
          <cell r="A400" t="str">
            <v>EIMCOELECO</v>
          </cell>
          <cell r="B400">
            <v>347</v>
          </cell>
        </row>
        <row r="401">
          <cell r="A401" t="str">
            <v>EKC</v>
          </cell>
          <cell r="B401">
            <v>73912</v>
          </cell>
        </row>
        <row r="402">
          <cell r="A402" t="str">
            <v>ELECON</v>
          </cell>
          <cell r="B402">
            <v>106487</v>
          </cell>
        </row>
        <row r="403">
          <cell r="A403" t="str">
            <v>ELECTCAST</v>
          </cell>
          <cell r="B403">
            <v>174388</v>
          </cell>
        </row>
        <row r="404">
          <cell r="A404" t="str">
            <v>ELECTHERM</v>
          </cell>
          <cell r="B404">
            <v>73902</v>
          </cell>
        </row>
        <row r="405">
          <cell r="A405" t="str">
            <v>ELGIEQUIP</v>
          </cell>
          <cell r="B405">
            <v>27722</v>
          </cell>
        </row>
        <row r="406">
          <cell r="A406" t="str">
            <v>ELGIRUBCO</v>
          </cell>
          <cell r="B406">
            <v>27844</v>
          </cell>
        </row>
        <row r="407">
          <cell r="A407" t="str">
            <v>EMAMILTD</v>
          </cell>
          <cell r="B407">
            <v>1531998</v>
          </cell>
        </row>
        <row r="408">
          <cell r="A408" t="str">
            <v>EMAMIPAP</v>
          </cell>
          <cell r="B408">
            <v>48027</v>
          </cell>
        </row>
        <row r="409">
          <cell r="A409" t="str">
            <v>EMAMIREAL</v>
          </cell>
          <cell r="B409">
            <v>161260</v>
          </cell>
        </row>
        <row r="410">
          <cell r="A410" t="str">
            <v>EMBASSY</v>
          </cell>
          <cell r="B410">
            <v>166000</v>
          </cell>
        </row>
        <row r="411">
          <cell r="A411" t="str">
            <v>EMKAY</v>
          </cell>
          <cell r="B411">
            <v>27662</v>
          </cell>
        </row>
        <row r="412">
          <cell r="A412" t="str">
            <v>EMMBI</v>
          </cell>
          <cell r="B412">
            <v>6166</v>
          </cell>
        </row>
        <row r="413">
          <cell r="A413" t="str">
            <v>EMOFSR1RDP</v>
          </cell>
          <cell r="B413">
            <v>3992</v>
          </cell>
        </row>
        <row r="414">
          <cell r="A414" t="str">
            <v>EMOFSR1RGG</v>
          </cell>
          <cell r="B414">
            <v>143593</v>
          </cell>
        </row>
        <row r="415">
          <cell r="A415" t="str">
            <v>ENDURANCE</v>
          </cell>
          <cell r="B415">
            <v>420922</v>
          </cell>
        </row>
        <row r="416">
          <cell r="A416" t="str">
            <v>ENGINERSIN</v>
          </cell>
          <cell r="B416">
            <v>2177482</v>
          </cell>
        </row>
        <row r="417">
          <cell r="A417" t="str">
            <v>ENIL</v>
          </cell>
          <cell r="B417">
            <v>3472</v>
          </cell>
        </row>
        <row r="418">
          <cell r="A418" t="str">
            <v>EQ30</v>
          </cell>
          <cell r="B418">
            <v>39</v>
          </cell>
        </row>
        <row r="419">
          <cell r="A419" t="str">
            <v>EQUITAS</v>
          </cell>
          <cell r="B419">
            <v>15652066</v>
          </cell>
        </row>
        <row r="420">
          <cell r="A420" t="str">
            <v>ERFLNCDI</v>
          </cell>
          <cell r="B420">
            <v>30</v>
          </cell>
        </row>
        <row r="421">
          <cell r="A421" t="str">
            <v>ERFLNCDI</v>
          </cell>
          <cell r="B421">
            <v>2677</v>
          </cell>
        </row>
        <row r="422">
          <cell r="A422" t="str">
            <v>ERFLNCDI</v>
          </cell>
          <cell r="B422">
            <v>115</v>
          </cell>
        </row>
        <row r="423">
          <cell r="A423" t="str">
            <v>ERFLNCDI</v>
          </cell>
          <cell r="B423">
            <v>532</v>
          </cell>
        </row>
        <row r="424">
          <cell r="A424" t="str">
            <v>ERFLNCDI</v>
          </cell>
          <cell r="B424">
            <v>25</v>
          </cell>
        </row>
        <row r="425">
          <cell r="A425" t="str">
            <v>ERIS</v>
          </cell>
          <cell r="B425">
            <v>137611</v>
          </cell>
        </row>
        <row r="426">
          <cell r="A426" t="str">
            <v>EROSMEDIA</v>
          </cell>
          <cell r="B426">
            <v>1310912</v>
          </cell>
        </row>
        <row r="427">
          <cell r="A427" t="str">
            <v>ESABINDIA</v>
          </cell>
          <cell r="B427">
            <v>4389</v>
          </cell>
        </row>
        <row r="428">
          <cell r="A428" t="str">
            <v>ESCORTS</v>
          </cell>
          <cell r="B428">
            <v>3220473</v>
          </cell>
        </row>
        <row r="429">
          <cell r="A429" t="str">
            <v>ESSELPACK</v>
          </cell>
          <cell r="B429">
            <v>239166</v>
          </cell>
        </row>
        <row r="430">
          <cell r="A430" t="str">
            <v>ESTER</v>
          </cell>
          <cell r="B430">
            <v>172248</v>
          </cell>
        </row>
        <row r="431">
          <cell r="A431" t="str">
            <v>EVERESTIND</v>
          </cell>
          <cell r="B431">
            <v>92362</v>
          </cell>
        </row>
        <row r="432">
          <cell r="A432" t="str">
            <v>EXCEL</v>
          </cell>
          <cell r="B432">
            <v>2855</v>
          </cell>
        </row>
        <row r="433">
          <cell r="A433" t="str">
            <v>EXCELINDUS</v>
          </cell>
          <cell r="B433">
            <v>42401</v>
          </cell>
        </row>
        <row r="434">
          <cell r="A434" t="str">
            <v>EXIDEIND</v>
          </cell>
          <cell r="B434">
            <v>5229761</v>
          </cell>
        </row>
        <row r="435">
          <cell r="A435" t="str">
            <v>EXPLEOSOL</v>
          </cell>
          <cell r="B435">
            <v>6841</v>
          </cell>
        </row>
        <row r="436">
          <cell r="A436" t="str">
            <v>FACT</v>
          </cell>
          <cell r="B436">
            <v>100784</v>
          </cell>
        </row>
        <row r="437">
          <cell r="A437" t="str">
            <v>FAIRCHEM</v>
          </cell>
          <cell r="B437">
            <v>30387</v>
          </cell>
        </row>
        <row r="438">
          <cell r="A438" t="str">
            <v>FCL</v>
          </cell>
          <cell r="B438">
            <v>905794</v>
          </cell>
        </row>
        <row r="439">
          <cell r="A439" t="str">
            <v>FCONSUMER</v>
          </cell>
          <cell r="B439">
            <v>8530907</v>
          </cell>
        </row>
        <row r="440">
          <cell r="A440" t="str">
            <v>FCSSOFT</v>
          </cell>
          <cell r="B440">
            <v>1257240</v>
          </cell>
        </row>
        <row r="441">
          <cell r="A441" t="str">
            <v>FDC</v>
          </cell>
          <cell r="B441">
            <v>165675</v>
          </cell>
        </row>
        <row r="442">
          <cell r="A442" t="str">
            <v>FEDERALBNK</v>
          </cell>
          <cell r="B442">
            <v>60287266</v>
          </cell>
        </row>
        <row r="443">
          <cell r="A443" t="str">
            <v>FEL</v>
          </cell>
          <cell r="B443">
            <v>584325</v>
          </cell>
        </row>
        <row r="444">
          <cell r="A444" t="str">
            <v>FELDVR</v>
          </cell>
          <cell r="B444">
            <v>177101</v>
          </cell>
        </row>
        <row r="445">
          <cell r="A445" t="str">
            <v>FIEMIND</v>
          </cell>
          <cell r="B445">
            <v>34053</v>
          </cell>
        </row>
        <row r="446">
          <cell r="A446" t="str">
            <v>FILATEX</v>
          </cell>
          <cell r="B446">
            <v>69496</v>
          </cell>
        </row>
        <row r="447">
          <cell r="A447" t="str">
            <v>FINCABLES</v>
          </cell>
          <cell r="B447">
            <v>99461</v>
          </cell>
        </row>
        <row r="448">
          <cell r="A448" t="str">
            <v>FINEORG</v>
          </cell>
          <cell r="B448">
            <v>6707</v>
          </cell>
        </row>
        <row r="449">
          <cell r="A449" t="str">
            <v>FINPIPE</v>
          </cell>
          <cell r="B449">
            <v>49526</v>
          </cell>
        </row>
        <row r="450">
          <cell r="A450" t="str">
            <v>FLFL</v>
          </cell>
          <cell r="B450">
            <v>138574</v>
          </cell>
        </row>
        <row r="451">
          <cell r="A451" t="str">
            <v>FLUOROCHEM</v>
          </cell>
          <cell r="B451">
            <v>11304</v>
          </cell>
        </row>
        <row r="452">
          <cell r="A452" t="str">
            <v>FMGOETZE</v>
          </cell>
          <cell r="B452">
            <v>3249</v>
          </cell>
        </row>
        <row r="453">
          <cell r="A453" t="str">
            <v>FMNL</v>
          </cell>
          <cell r="B453">
            <v>17840</v>
          </cell>
        </row>
        <row r="454">
          <cell r="A454" t="str">
            <v>FORCEMOT</v>
          </cell>
          <cell r="B454">
            <v>73335</v>
          </cell>
        </row>
        <row r="455">
          <cell r="A455" t="str">
            <v>FORTIS</v>
          </cell>
          <cell r="B455">
            <v>1984965</v>
          </cell>
        </row>
        <row r="456">
          <cell r="A456" t="str">
            <v>FOSECOIND</v>
          </cell>
          <cell r="B456">
            <v>2799</v>
          </cell>
        </row>
        <row r="457">
          <cell r="A457" t="str">
            <v>FRETAIL</v>
          </cell>
          <cell r="B457">
            <v>3493060</v>
          </cell>
        </row>
        <row r="458">
          <cell r="A458" t="str">
            <v>FSC</v>
          </cell>
          <cell r="B458">
            <v>124137</v>
          </cell>
        </row>
        <row r="459">
          <cell r="A459" t="str">
            <v>FSL</v>
          </cell>
          <cell r="B459">
            <v>1306543</v>
          </cell>
        </row>
        <row r="460">
          <cell r="A460" t="str">
            <v>GABRIEL</v>
          </cell>
          <cell r="B460">
            <v>64652</v>
          </cell>
        </row>
        <row r="461">
          <cell r="A461" t="str">
            <v>GAEL</v>
          </cell>
          <cell r="B461">
            <v>22334</v>
          </cell>
        </row>
        <row r="462">
          <cell r="A462" t="str">
            <v>GAIL</v>
          </cell>
          <cell r="B462">
            <v>18495310</v>
          </cell>
        </row>
        <row r="463">
          <cell r="A463" t="str">
            <v>GAL</v>
          </cell>
          <cell r="B463">
            <v>42545</v>
          </cell>
        </row>
        <row r="464">
          <cell r="A464" t="str">
            <v>GALAXYSURF</v>
          </cell>
          <cell r="B464">
            <v>19012</v>
          </cell>
        </row>
        <row r="465">
          <cell r="A465" t="str">
            <v>GALLANTT</v>
          </cell>
          <cell r="B465">
            <v>3949</v>
          </cell>
        </row>
        <row r="466">
          <cell r="A466" t="str">
            <v>GALLISPAT</v>
          </cell>
          <cell r="B466">
            <v>5360</v>
          </cell>
        </row>
        <row r="467">
          <cell r="A467" t="str">
            <v>GAMMNINFRA</v>
          </cell>
          <cell r="B467">
            <v>913414</v>
          </cell>
        </row>
        <row r="468">
          <cell r="A468" t="str">
            <v>GANDHITUBE</v>
          </cell>
          <cell r="B468">
            <v>3591</v>
          </cell>
        </row>
        <row r="469">
          <cell r="A469" t="str">
            <v>GANECOS</v>
          </cell>
          <cell r="B469">
            <v>15234</v>
          </cell>
        </row>
        <row r="470">
          <cell r="A470" t="str">
            <v>GANESHHOUC</v>
          </cell>
          <cell r="B470">
            <v>19651</v>
          </cell>
        </row>
        <row r="471">
          <cell r="A471" t="str">
            <v>GANGESSECU</v>
          </cell>
          <cell r="B471">
            <v>1005</v>
          </cell>
        </row>
        <row r="472">
          <cell r="A472" t="str">
            <v>GARDENSILK</v>
          </cell>
          <cell r="B472">
            <v>18393</v>
          </cell>
        </row>
        <row r="473">
          <cell r="A473" t="str">
            <v>GARFIBRES</v>
          </cell>
          <cell r="B473">
            <v>8760</v>
          </cell>
        </row>
        <row r="474">
          <cell r="A474" t="str">
            <v>GATI</v>
          </cell>
          <cell r="B474">
            <v>527545</v>
          </cell>
        </row>
        <row r="475">
          <cell r="A475" t="str">
            <v>GAYAHWS</v>
          </cell>
          <cell r="B475">
            <v>50001</v>
          </cell>
        </row>
        <row r="476">
          <cell r="A476" t="str">
            <v>GAYAPROJ</v>
          </cell>
          <cell r="B476">
            <v>28525</v>
          </cell>
        </row>
        <row r="477">
          <cell r="A477" t="str">
            <v>GBGLOBAL</v>
          </cell>
          <cell r="B477">
            <v>383</v>
          </cell>
        </row>
        <row r="478">
          <cell r="A478" t="str">
            <v>GDL</v>
          </cell>
          <cell r="B478">
            <v>81066</v>
          </cell>
        </row>
        <row r="479">
          <cell r="A479" t="str">
            <v>GEECEE</v>
          </cell>
          <cell r="B479">
            <v>7301</v>
          </cell>
        </row>
        <row r="480">
          <cell r="A480" t="str">
            <v>GEEKAYWIRE</v>
          </cell>
          <cell r="B480">
            <v>2467</v>
          </cell>
        </row>
        <row r="481">
          <cell r="A481" t="str">
            <v>GENESYS</v>
          </cell>
          <cell r="B481">
            <v>7258</v>
          </cell>
        </row>
        <row r="482">
          <cell r="A482" t="str">
            <v>GENUSPAPER</v>
          </cell>
          <cell r="B482">
            <v>85913</v>
          </cell>
        </row>
        <row r="483">
          <cell r="A483" t="str">
            <v>GENUSPOWER</v>
          </cell>
          <cell r="B483">
            <v>136894</v>
          </cell>
        </row>
        <row r="484">
          <cell r="A484" t="str">
            <v>GEOJITFSL</v>
          </cell>
          <cell r="B484">
            <v>433008</v>
          </cell>
        </row>
        <row r="485">
          <cell r="A485" t="str">
            <v>GEPIL</v>
          </cell>
          <cell r="B485">
            <v>52695</v>
          </cell>
        </row>
        <row r="486">
          <cell r="A486" t="str">
            <v>GESHIP</v>
          </cell>
          <cell r="B486">
            <v>201926</v>
          </cell>
        </row>
        <row r="487">
          <cell r="A487" t="str">
            <v>GET&amp;D</v>
          </cell>
          <cell r="B487">
            <v>44910</v>
          </cell>
        </row>
        <row r="488">
          <cell r="A488" t="str">
            <v>GFLLIMITED</v>
          </cell>
          <cell r="B488">
            <v>24510</v>
          </cell>
        </row>
        <row r="489">
          <cell r="A489" t="str">
            <v>GFSTEELS</v>
          </cell>
          <cell r="B489">
            <v>2993</v>
          </cell>
        </row>
        <row r="490">
          <cell r="A490" t="str">
            <v>GHCL</v>
          </cell>
          <cell r="B490">
            <v>146314</v>
          </cell>
        </row>
        <row r="491">
          <cell r="A491" t="str">
            <v>GICHSGFIN</v>
          </cell>
          <cell r="B491">
            <v>266943</v>
          </cell>
        </row>
        <row r="492">
          <cell r="A492" t="str">
            <v>GICRE</v>
          </cell>
          <cell r="B492">
            <v>238445</v>
          </cell>
        </row>
        <row r="493">
          <cell r="A493" t="str">
            <v>GILLETTE</v>
          </cell>
          <cell r="B493">
            <v>5427</v>
          </cell>
        </row>
        <row r="494">
          <cell r="A494" t="str">
            <v>GINNIFILA</v>
          </cell>
          <cell r="B494">
            <v>88998</v>
          </cell>
        </row>
        <row r="495">
          <cell r="A495" t="str">
            <v>GIPCL</v>
          </cell>
          <cell r="B495">
            <v>56146</v>
          </cell>
        </row>
        <row r="496">
          <cell r="A496" t="str">
            <v>GKWLIMITED</v>
          </cell>
          <cell r="B496">
            <v>1036</v>
          </cell>
        </row>
        <row r="497">
          <cell r="A497" t="str">
            <v>GLAXO</v>
          </cell>
          <cell r="B497">
            <v>170424</v>
          </cell>
        </row>
        <row r="498">
          <cell r="A498" t="str">
            <v>GLENMARK</v>
          </cell>
          <cell r="B498">
            <v>11120364</v>
          </cell>
        </row>
        <row r="499">
          <cell r="A499" t="str">
            <v>GLOBALVECT</v>
          </cell>
          <cell r="B499">
            <v>49554</v>
          </cell>
        </row>
        <row r="500">
          <cell r="A500" t="str">
            <v>GLOBOFFS</v>
          </cell>
          <cell r="B500">
            <v>951</v>
          </cell>
        </row>
        <row r="501">
          <cell r="A501" t="str">
            <v>GLOBUSSPR</v>
          </cell>
          <cell r="B501">
            <v>63711</v>
          </cell>
        </row>
        <row r="502">
          <cell r="A502" t="str">
            <v>GMBREW</v>
          </cell>
          <cell r="B502">
            <v>53320</v>
          </cell>
        </row>
        <row r="503">
          <cell r="A503" t="str">
            <v>GMDCLTD</v>
          </cell>
          <cell r="B503">
            <v>772145</v>
          </cell>
        </row>
        <row r="504">
          <cell r="A504" t="str">
            <v>GMMPFAUDLR</v>
          </cell>
          <cell r="B504">
            <v>33592</v>
          </cell>
        </row>
        <row r="505">
          <cell r="A505" t="str">
            <v>GMRINFRA</v>
          </cell>
          <cell r="B505">
            <v>11099466</v>
          </cell>
        </row>
        <row r="506">
          <cell r="A506" t="str">
            <v>GNA</v>
          </cell>
          <cell r="B506">
            <v>77634</v>
          </cell>
        </row>
        <row r="507">
          <cell r="A507" t="str">
            <v>GNFC</v>
          </cell>
          <cell r="B507">
            <v>893397</v>
          </cell>
        </row>
        <row r="508">
          <cell r="A508" t="str">
            <v>GOCLCORP</v>
          </cell>
          <cell r="B508">
            <v>5980</v>
          </cell>
        </row>
        <row r="509">
          <cell r="A509" t="str">
            <v>GODFRYPHLP</v>
          </cell>
          <cell r="B509">
            <v>107146</v>
          </cell>
        </row>
        <row r="510">
          <cell r="A510" t="str">
            <v>GODHA</v>
          </cell>
          <cell r="B510">
            <v>4000</v>
          </cell>
        </row>
        <row r="511">
          <cell r="A511" t="str">
            <v>GODREJAGRO</v>
          </cell>
          <cell r="B511">
            <v>122297</v>
          </cell>
        </row>
        <row r="512">
          <cell r="A512" t="str">
            <v>GODREJCP</v>
          </cell>
          <cell r="B512">
            <v>2792195</v>
          </cell>
        </row>
        <row r="513">
          <cell r="A513" t="str">
            <v>GODREJIND</v>
          </cell>
          <cell r="B513">
            <v>620559</v>
          </cell>
        </row>
        <row r="514">
          <cell r="A514" t="str">
            <v>GODREJPROP</v>
          </cell>
          <cell r="B514">
            <v>675173</v>
          </cell>
        </row>
        <row r="515">
          <cell r="A515" t="str">
            <v>GOKEX</v>
          </cell>
          <cell r="B515">
            <v>208516</v>
          </cell>
        </row>
        <row r="516">
          <cell r="A516" t="str">
            <v>GOKUL</v>
          </cell>
          <cell r="B516">
            <v>9722</v>
          </cell>
        </row>
        <row r="517">
          <cell r="A517" t="str">
            <v>GOKULAGRO</v>
          </cell>
          <cell r="B517">
            <v>29400</v>
          </cell>
        </row>
        <row r="518">
          <cell r="A518" t="str">
            <v>GOLDBEES</v>
          </cell>
          <cell r="B518">
            <v>8171965</v>
          </cell>
        </row>
        <row r="519">
          <cell r="A519" t="str">
            <v>GOLDENTOBC</v>
          </cell>
          <cell r="B519">
            <v>5192</v>
          </cell>
        </row>
        <row r="520">
          <cell r="A520" t="str">
            <v>GOLDIAM</v>
          </cell>
          <cell r="B520">
            <v>29210</v>
          </cell>
        </row>
        <row r="521">
          <cell r="A521" t="str">
            <v>GOLDSHARE</v>
          </cell>
          <cell r="B521">
            <v>1971</v>
          </cell>
        </row>
        <row r="522">
          <cell r="A522" t="str">
            <v>GOLDTECH</v>
          </cell>
          <cell r="B522">
            <v>8493</v>
          </cell>
        </row>
        <row r="523">
          <cell r="A523" t="str">
            <v>GOODLUCK</v>
          </cell>
          <cell r="B523">
            <v>176384</v>
          </cell>
        </row>
        <row r="524">
          <cell r="A524" t="str">
            <v>GPIL</v>
          </cell>
          <cell r="B524">
            <v>72125</v>
          </cell>
        </row>
        <row r="525">
          <cell r="A525" t="str">
            <v>GPPL</v>
          </cell>
          <cell r="B525">
            <v>762830</v>
          </cell>
        </row>
        <row r="526">
          <cell r="A526" t="str">
            <v>GPTINFRA</v>
          </cell>
          <cell r="B526">
            <v>17780</v>
          </cell>
        </row>
        <row r="527">
          <cell r="A527" t="str">
            <v>GRANULES</v>
          </cell>
          <cell r="B527">
            <v>1485830</v>
          </cell>
        </row>
        <row r="528">
          <cell r="A528" t="str">
            <v>GRAPHITE</v>
          </cell>
          <cell r="B528">
            <v>1415211</v>
          </cell>
        </row>
        <row r="529">
          <cell r="A529" t="str">
            <v>GRASIM</v>
          </cell>
          <cell r="B529">
            <v>6535679</v>
          </cell>
        </row>
        <row r="530">
          <cell r="A530" t="str">
            <v>GRAVITA</v>
          </cell>
          <cell r="B530">
            <v>62529</v>
          </cell>
        </row>
        <row r="531">
          <cell r="A531" t="str">
            <v>GREAVESCOT</v>
          </cell>
          <cell r="B531">
            <v>284232</v>
          </cell>
        </row>
        <row r="532">
          <cell r="A532" t="str">
            <v>GREENLAM</v>
          </cell>
          <cell r="B532">
            <v>3509</v>
          </cell>
        </row>
        <row r="533">
          <cell r="A533" t="str">
            <v>GREENPANEL</v>
          </cell>
          <cell r="B533">
            <v>143216</v>
          </cell>
        </row>
        <row r="534">
          <cell r="A534" t="str">
            <v>GREENPLY</v>
          </cell>
          <cell r="B534">
            <v>106618</v>
          </cell>
        </row>
        <row r="535">
          <cell r="A535" t="str">
            <v>GREENPOWER</v>
          </cell>
          <cell r="B535">
            <v>322836</v>
          </cell>
        </row>
        <row r="536">
          <cell r="A536" t="str">
            <v>GRINDWELL</v>
          </cell>
          <cell r="B536">
            <v>25684</v>
          </cell>
        </row>
        <row r="537">
          <cell r="A537" t="str">
            <v>GROBTEA</v>
          </cell>
          <cell r="B537">
            <v>680</v>
          </cell>
        </row>
        <row r="538">
          <cell r="A538" t="str">
            <v>GRPLTD</v>
          </cell>
          <cell r="B538">
            <v>1368</v>
          </cell>
        </row>
        <row r="539">
          <cell r="A539" t="str">
            <v>GRSE</v>
          </cell>
          <cell r="B539">
            <v>112735</v>
          </cell>
        </row>
        <row r="540">
          <cell r="A540" t="str">
            <v>GSCLCEMENT</v>
          </cell>
          <cell r="B540">
            <v>49773</v>
          </cell>
        </row>
        <row r="541">
          <cell r="A541" t="str">
            <v>GSFC</v>
          </cell>
          <cell r="B541">
            <v>444322</v>
          </cell>
        </row>
        <row r="542">
          <cell r="A542" t="str">
            <v>GSPL</v>
          </cell>
          <cell r="B542">
            <v>880607</v>
          </cell>
        </row>
        <row r="543">
          <cell r="A543" t="str">
            <v>GSS</v>
          </cell>
          <cell r="B543">
            <v>20144</v>
          </cell>
        </row>
        <row r="544">
          <cell r="A544" t="str">
            <v>GTNIND</v>
          </cell>
          <cell r="B544">
            <v>7045</v>
          </cell>
        </row>
        <row r="545">
          <cell r="A545" t="str">
            <v>GTPL</v>
          </cell>
          <cell r="B545">
            <v>84804</v>
          </cell>
        </row>
        <row r="546">
          <cell r="A546" t="str">
            <v>GUFICBIO</v>
          </cell>
          <cell r="B546">
            <v>205353</v>
          </cell>
        </row>
        <row r="547">
          <cell r="A547" t="str">
            <v>GUJALKALI</v>
          </cell>
          <cell r="B547">
            <v>104258</v>
          </cell>
        </row>
        <row r="548">
          <cell r="A548" t="str">
            <v>GUJAPOLLO</v>
          </cell>
          <cell r="B548">
            <v>4661</v>
          </cell>
        </row>
        <row r="549">
          <cell r="A549" t="str">
            <v>GUJGASLTD</v>
          </cell>
          <cell r="B549">
            <v>890423</v>
          </cell>
        </row>
        <row r="550">
          <cell r="A550" t="str">
            <v>GULFOILLUB</v>
          </cell>
          <cell r="B550">
            <v>5892</v>
          </cell>
        </row>
        <row r="551">
          <cell r="A551" t="str">
            <v>GULFPETRO</v>
          </cell>
          <cell r="B551">
            <v>141034</v>
          </cell>
        </row>
        <row r="552">
          <cell r="A552" t="str">
            <v>GULPOLY</v>
          </cell>
          <cell r="B552">
            <v>7726</v>
          </cell>
        </row>
        <row r="553">
          <cell r="A553" t="str">
            <v>GVKPIL</v>
          </cell>
          <cell r="B553">
            <v>2655276</v>
          </cell>
        </row>
        <row r="554">
          <cell r="A554" t="str">
            <v>HAL</v>
          </cell>
          <cell r="B554">
            <v>33321</v>
          </cell>
        </row>
        <row r="555">
          <cell r="A555" t="str">
            <v>HARITASEAT</v>
          </cell>
          <cell r="B555">
            <v>5531</v>
          </cell>
        </row>
        <row r="556">
          <cell r="A556" t="str">
            <v>HARRMALAYA</v>
          </cell>
          <cell r="B556">
            <v>159492</v>
          </cell>
        </row>
        <row r="557">
          <cell r="A557" t="str">
            <v>HATHWAY</v>
          </cell>
          <cell r="B557">
            <v>712498</v>
          </cell>
        </row>
        <row r="558">
          <cell r="A558" t="str">
            <v>HATSUN</v>
          </cell>
          <cell r="B558">
            <v>5793</v>
          </cell>
        </row>
        <row r="559">
          <cell r="A559" t="str">
            <v>HAVELLS</v>
          </cell>
          <cell r="B559">
            <v>2637280</v>
          </cell>
        </row>
        <row r="560">
          <cell r="A560" t="str">
            <v>HBLPOWER</v>
          </cell>
          <cell r="B560">
            <v>200574</v>
          </cell>
        </row>
        <row r="561">
          <cell r="A561" t="str">
            <v>HCC</v>
          </cell>
          <cell r="B561">
            <v>1536061</v>
          </cell>
        </row>
        <row r="562">
          <cell r="A562" t="str">
            <v>HCG</v>
          </cell>
          <cell r="B562">
            <v>1167075</v>
          </cell>
        </row>
        <row r="563">
          <cell r="A563" t="str">
            <v>HCLTECH</v>
          </cell>
          <cell r="B563">
            <v>8035698</v>
          </cell>
        </row>
        <row r="564">
          <cell r="A564" t="str">
            <v>HDFC</v>
          </cell>
          <cell r="B564">
            <v>8237079</v>
          </cell>
        </row>
        <row r="565">
          <cell r="A565" t="str">
            <v>HDFCAMC</v>
          </cell>
          <cell r="B565">
            <v>459904</v>
          </cell>
        </row>
        <row r="566">
          <cell r="A566" t="str">
            <v>HDFCBANK</v>
          </cell>
          <cell r="B566">
            <v>21897643</v>
          </cell>
        </row>
        <row r="567">
          <cell r="A567" t="str">
            <v>HDFCLIFE</v>
          </cell>
          <cell r="B567">
            <v>3751413</v>
          </cell>
        </row>
        <row r="568">
          <cell r="A568" t="str">
            <v>HDFCMFGETF</v>
          </cell>
          <cell r="B568">
            <v>14510</v>
          </cell>
        </row>
        <row r="569">
          <cell r="A569" t="str">
            <v>HDFCNIFETF</v>
          </cell>
          <cell r="B569">
            <v>3191</v>
          </cell>
        </row>
        <row r="570">
          <cell r="A570" t="str">
            <v>HDFCSENETF</v>
          </cell>
          <cell r="B570">
            <v>486</v>
          </cell>
        </row>
        <row r="571">
          <cell r="A571" t="str">
            <v>HEG</v>
          </cell>
          <cell r="B571">
            <v>421041</v>
          </cell>
        </row>
        <row r="572">
          <cell r="A572" t="str">
            <v>HEIDELBERG</v>
          </cell>
          <cell r="B572">
            <v>623089</v>
          </cell>
        </row>
        <row r="573">
          <cell r="A573" t="str">
            <v>HEOF1100RG</v>
          </cell>
          <cell r="B573">
            <v>300</v>
          </cell>
        </row>
        <row r="574">
          <cell r="A574" t="str">
            <v>HEOF1126RD</v>
          </cell>
          <cell r="B574">
            <v>4000</v>
          </cell>
        </row>
        <row r="575">
          <cell r="A575" t="str">
            <v>HEOF1126RG</v>
          </cell>
          <cell r="B575">
            <v>2500</v>
          </cell>
        </row>
        <row r="576">
          <cell r="A576" t="str">
            <v>HERCULES</v>
          </cell>
          <cell r="B576">
            <v>28736</v>
          </cell>
        </row>
        <row r="577">
          <cell r="A577" t="str">
            <v>HERITGFOOD</v>
          </cell>
          <cell r="B577">
            <v>38685</v>
          </cell>
        </row>
        <row r="578">
          <cell r="A578" t="str">
            <v>HEROMOTOCO</v>
          </cell>
          <cell r="B578">
            <v>2786594</v>
          </cell>
        </row>
        <row r="579">
          <cell r="A579" t="str">
            <v>HESTERBIO</v>
          </cell>
          <cell r="B579">
            <v>273195</v>
          </cell>
        </row>
        <row r="580">
          <cell r="A580" t="str">
            <v>HEXAWARE</v>
          </cell>
          <cell r="B580">
            <v>1865466</v>
          </cell>
        </row>
        <row r="581">
          <cell r="A581" t="str">
            <v>HFCL</v>
          </cell>
          <cell r="B581">
            <v>1653441</v>
          </cell>
        </row>
        <row r="582">
          <cell r="A582" t="str">
            <v>HGINFRA</v>
          </cell>
          <cell r="B582">
            <v>15716</v>
          </cell>
        </row>
        <row r="583">
          <cell r="A583" t="str">
            <v>HGS</v>
          </cell>
          <cell r="B583">
            <v>82530</v>
          </cell>
        </row>
        <row r="584">
          <cell r="A584" t="str">
            <v>HHOF1140RG</v>
          </cell>
          <cell r="B584">
            <v>2000</v>
          </cell>
        </row>
        <row r="585">
          <cell r="A585" t="str">
            <v>HIKAL</v>
          </cell>
          <cell r="B585">
            <v>122663</v>
          </cell>
        </row>
        <row r="586">
          <cell r="A586" t="str">
            <v>HIL</v>
          </cell>
          <cell r="B586">
            <v>27615</v>
          </cell>
        </row>
        <row r="587">
          <cell r="A587" t="str">
            <v>HILTON</v>
          </cell>
          <cell r="B587">
            <v>13237</v>
          </cell>
        </row>
        <row r="588">
          <cell r="A588" t="str">
            <v>HIMATSEIDE</v>
          </cell>
          <cell r="B588">
            <v>287163</v>
          </cell>
        </row>
        <row r="589">
          <cell r="A589" t="str">
            <v>HINDALCO</v>
          </cell>
          <cell r="B589">
            <v>45993743</v>
          </cell>
        </row>
        <row r="590">
          <cell r="A590" t="str">
            <v>HINDCOMPOS</v>
          </cell>
          <cell r="B590">
            <v>3132</v>
          </cell>
        </row>
        <row r="591">
          <cell r="A591" t="str">
            <v>HINDCOPPER</v>
          </cell>
          <cell r="B591">
            <v>954699</v>
          </cell>
        </row>
        <row r="592">
          <cell r="A592" t="str">
            <v>HINDMOTORS</v>
          </cell>
          <cell r="B592">
            <v>260956</v>
          </cell>
        </row>
        <row r="593">
          <cell r="A593" t="str">
            <v>HINDNATGLS</v>
          </cell>
          <cell r="B593">
            <v>6457</v>
          </cell>
        </row>
        <row r="594">
          <cell r="A594" t="str">
            <v>HINDOILEXP</v>
          </cell>
          <cell r="B594">
            <v>819823</v>
          </cell>
        </row>
        <row r="595">
          <cell r="A595" t="str">
            <v>HINDPETRO</v>
          </cell>
          <cell r="B595">
            <v>10064082</v>
          </cell>
        </row>
        <row r="596">
          <cell r="A596" t="str">
            <v>HINDUNILVR</v>
          </cell>
          <cell r="B596">
            <v>8448104</v>
          </cell>
        </row>
        <row r="597">
          <cell r="A597" t="str">
            <v>HINDZINC</v>
          </cell>
          <cell r="B597">
            <v>715866</v>
          </cell>
        </row>
        <row r="598">
          <cell r="A598" t="str">
            <v>HIRECT</v>
          </cell>
          <cell r="B598">
            <v>12331</v>
          </cell>
        </row>
        <row r="599">
          <cell r="A599" t="str">
            <v>HISARMETAL</v>
          </cell>
          <cell r="B599">
            <v>3859</v>
          </cell>
        </row>
        <row r="600">
          <cell r="A600" t="str">
            <v>HITECH</v>
          </cell>
          <cell r="B600">
            <v>7084</v>
          </cell>
        </row>
        <row r="601">
          <cell r="A601" t="str">
            <v>HITECHCORP</v>
          </cell>
          <cell r="B601">
            <v>1938</v>
          </cell>
        </row>
        <row r="602">
          <cell r="A602" t="str">
            <v>HITECHGEAR</v>
          </cell>
          <cell r="B602">
            <v>6348</v>
          </cell>
        </row>
        <row r="603">
          <cell r="A603" t="str">
            <v>HLVLTD</v>
          </cell>
          <cell r="B603">
            <v>147393</v>
          </cell>
        </row>
        <row r="604">
          <cell r="A604" t="str">
            <v>HMVL</v>
          </cell>
          <cell r="B604">
            <v>22936</v>
          </cell>
        </row>
        <row r="605">
          <cell r="A605" t="str">
            <v>HNDFDS</v>
          </cell>
          <cell r="B605">
            <v>16702</v>
          </cell>
        </row>
        <row r="606">
          <cell r="A606" t="str">
            <v>HNGSNGBEES</v>
          </cell>
          <cell r="B606">
            <v>266</v>
          </cell>
        </row>
        <row r="607">
          <cell r="A607" t="str">
            <v>HONAUT</v>
          </cell>
          <cell r="B607">
            <v>8087</v>
          </cell>
        </row>
        <row r="608">
          <cell r="A608" t="str">
            <v>HONDAPOWER</v>
          </cell>
          <cell r="B608">
            <v>3515</v>
          </cell>
        </row>
        <row r="609">
          <cell r="A609" t="str">
            <v>HPL</v>
          </cell>
          <cell r="B609">
            <v>49589</v>
          </cell>
        </row>
        <row r="610">
          <cell r="A610" t="str">
            <v>HSCL</v>
          </cell>
          <cell r="B610">
            <v>1268272</v>
          </cell>
        </row>
        <row r="611">
          <cell r="A611" t="str">
            <v>HSIL</v>
          </cell>
          <cell r="B611">
            <v>659250</v>
          </cell>
        </row>
        <row r="612">
          <cell r="A612" t="str">
            <v>HUDCO</v>
          </cell>
          <cell r="B612">
            <v>9341061</v>
          </cell>
        </row>
        <row r="613">
          <cell r="A613" t="str">
            <v>HUDCO</v>
          </cell>
          <cell r="B613">
            <v>1850</v>
          </cell>
        </row>
        <row r="614">
          <cell r="A614" t="str">
            <v>HUDCO</v>
          </cell>
          <cell r="B614">
            <v>2264</v>
          </cell>
        </row>
        <row r="615">
          <cell r="A615" t="str">
            <v>HUDCO</v>
          </cell>
          <cell r="B615">
            <v>27</v>
          </cell>
        </row>
        <row r="616">
          <cell r="A616" t="str">
            <v>HUDCO</v>
          </cell>
          <cell r="B616">
            <v>10</v>
          </cell>
        </row>
        <row r="617">
          <cell r="A617" t="str">
            <v>HUDCO</v>
          </cell>
          <cell r="B617">
            <v>32</v>
          </cell>
        </row>
        <row r="618">
          <cell r="A618" t="str">
            <v>HUDCO</v>
          </cell>
          <cell r="B618">
            <v>304</v>
          </cell>
        </row>
        <row r="619">
          <cell r="A619" t="str">
            <v>HUDCO</v>
          </cell>
          <cell r="B619">
            <v>115</v>
          </cell>
        </row>
        <row r="620">
          <cell r="A620" t="str">
            <v>HUDCO</v>
          </cell>
          <cell r="B620">
            <v>375</v>
          </cell>
        </row>
        <row r="621">
          <cell r="A621" t="str">
            <v>IBMFNIFTY</v>
          </cell>
          <cell r="B621">
            <v>2570</v>
          </cell>
        </row>
        <row r="622">
          <cell r="A622" t="str">
            <v>IBREALEST</v>
          </cell>
          <cell r="B622">
            <v>1986084</v>
          </cell>
        </row>
        <row r="623">
          <cell r="A623" t="str">
            <v>IBUCCREDIT</v>
          </cell>
          <cell r="B623">
            <v>30</v>
          </cell>
        </row>
        <row r="624">
          <cell r="A624" t="str">
            <v>IBUCCREDIT</v>
          </cell>
          <cell r="B624">
            <v>293</v>
          </cell>
        </row>
        <row r="625">
          <cell r="A625" t="str">
            <v>IBUCCREDIT</v>
          </cell>
          <cell r="B625">
            <v>2</v>
          </cell>
        </row>
        <row r="626">
          <cell r="A626" t="str">
            <v>IBULHSGFIN</v>
          </cell>
          <cell r="B626">
            <v>30143670</v>
          </cell>
        </row>
        <row r="627">
          <cell r="A627" t="str">
            <v>IBULHSGFIN</v>
          </cell>
          <cell r="B627">
            <v>51</v>
          </cell>
        </row>
        <row r="628">
          <cell r="A628" t="str">
            <v>IBULHSGFIN</v>
          </cell>
          <cell r="B628">
            <v>34</v>
          </cell>
        </row>
        <row r="629">
          <cell r="A629" t="str">
            <v>IBULHSGFIN</v>
          </cell>
          <cell r="B629">
            <v>831</v>
          </cell>
        </row>
        <row r="630">
          <cell r="A630" t="str">
            <v>IBULHSGFIN</v>
          </cell>
          <cell r="B630">
            <v>52</v>
          </cell>
        </row>
        <row r="631">
          <cell r="A631" t="str">
            <v>IBULISL</v>
          </cell>
          <cell r="B631">
            <v>304661</v>
          </cell>
        </row>
        <row r="632">
          <cell r="A632" t="str">
            <v>IBVENTURES</v>
          </cell>
          <cell r="B632">
            <v>119601</v>
          </cell>
        </row>
        <row r="633">
          <cell r="A633" t="str">
            <v>IBVENTURES</v>
          </cell>
          <cell r="B633">
            <v>1035093</v>
          </cell>
        </row>
        <row r="634">
          <cell r="A634" t="str">
            <v>ICEMAKE</v>
          </cell>
          <cell r="B634">
            <v>10000</v>
          </cell>
        </row>
        <row r="635">
          <cell r="A635" t="str">
            <v>ICFL</v>
          </cell>
          <cell r="B635">
            <v>164</v>
          </cell>
        </row>
        <row r="636">
          <cell r="A636" t="str">
            <v>ICFL</v>
          </cell>
          <cell r="B636">
            <v>82</v>
          </cell>
        </row>
        <row r="637">
          <cell r="A637" t="str">
            <v>ICFL</v>
          </cell>
          <cell r="B637">
            <v>271</v>
          </cell>
        </row>
        <row r="638">
          <cell r="A638" t="str">
            <v>ICFL</v>
          </cell>
          <cell r="B638">
            <v>15</v>
          </cell>
        </row>
        <row r="639">
          <cell r="A639" t="str">
            <v>ICICI500</v>
          </cell>
          <cell r="B639">
            <v>11085</v>
          </cell>
        </row>
        <row r="640">
          <cell r="A640" t="str">
            <v>ICICIB22</v>
          </cell>
          <cell r="B640">
            <v>357463</v>
          </cell>
        </row>
        <row r="641">
          <cell r="A641" t="str">
            <v>ICICIBANK</v>
          </cell>
          <cell r="B641">
            <v>45735197</v>
          </cell>
        </row>
        <row r="642">
          <cell r="A642" t="str">
            <v>ICICIBANKN</v>
          </cell>
          <cell r="B642">
            <v>20742</v>
          </cell>
        </row>
        <row r="643">
          <cell r="A643" t="str">
            <v>ICICIBANKP</v>
          </cell>
          <cell r="B643">
            <v>29064</v>
          </cell>
        </row>
        <row r="644">
          <cell r="A644" t="str">
            <v>ICICIGI</v>
          </cell>
          <cell r="B644">
            <v>987356</v>
          </cell>
        </row>
        <row r="645">
          <cell r="A645" t="str">
            <v>ICICIGOLD</v>
          </cell>
          <cell r="B645">
            <v>84872</v>
          </cell>
        </row>
        <row r="646">
          <cell r="A646" t="str">
            <v>ICICILIQ</v>
          </cell>
          <cell r="B646">
            <v>10358</v>
          </cell>
        </row>
        <row r="647">
          <cell r="A647" t="str">
            <v>ICICILOVOL</v>
          </cell>
          <cell r="B647">
            <v>53202</v>
          </cell>
        </row>
        <row r="648">
          <cell r="A648" t="str">
            <v>ICICIM150</v>
          </cell>
          <cell r="B648">
            <v>5796</v>
          </cell>
        </row>
        <row r="649">
          <cell r="A649" t="str">
            <v>ICICIMCAP</v>
          </cell>
          <cell r="B649">
            <v>15638</v>
          </cell>
        </row>
        <row r="650">
          <cell r="A650" t="str">
            <v>ICICINF100</v>
          </cell>
          <cell r="B650">
            <v>20068</v>
          </cell>
        </row>
        <row r="651">
          <cell r="A651" t="str">
            <v>ICICINIFTY</v>
          </cell>
          <cell r="B651">
            <v>301924</v>
          </cell>
        </row>
        <row r="652">
          <cell r="A652" t="str">
            <v>ICICINV20</v>
          </cell>
          <cell r="B652">
            <v>6741</v>
          </cell>
        </row>
        <row r="653">
          <cell r="A653" t="str">
            <v>ICICINXT50</v>
          </cell>
          <cell r="B653">
            <v>66594</v>
          </cell>
        </row>
        <row r="654">
          <cell r="A654" t="str">
            <v>ICICIPRULI</v>
          </cell>
          <cell r="B654">
            <v>3287882</v>
          </cell>
        </row>
        <row r="655">
          <cell r="A655" t="str">
            <v>ICICISENSX</v>
          </cell>
          <cell r="B655">
            <v>2894</v>
          </cell>
        </row>
        <row r="656">
          <cell r="A656" t="str">
            <v>ICIL</v>
          </cell>
          <cell r="B656">
            <v>87434</v>
          </cell>
        </row>
        <row r="657">
          <cell r="A657" t="str">
            <v>ICRA</v>
          </cell>
          <cell r="B657">
            <v>742</v>
          </cell>
        </row>
        <row r="658">
          <cell r="A658" t="str">
            <v>IDBI</v>
          </cell>
          <cell r="B658">
            <v>1381908</v>
          </cell>
        </row>
        <row r="659">
          <cell r="A659" t="str">
            <v>IDBIGOLD</v>
          </cell>
          <cell r="B659">
            <v>163</v>
          </cell>
        </row>
        <row r="660">
          <cell r="A660" t="str">
            <v>IDEA</v>
          </cell>
          <cell r="B660">
            <v>307549428</v>
          </cell>
        </row>
        <row r="661">
          <cell r="A661" t="str">
            <v>IDFC</v>
          </cell>
          <cell r="B661">
            <v>5880072</v>
          </cell>
        </row>
        <row r="662">
          <cell r="A662" t="str">
            <v>IDFCFIRSTB</v>
          </cell>
          <cell r="B662">
            <v>64987885</v>
          </cell>
        </row>
        <row r="663">
          <cell r="A663" t="str">
            <v>IDFCFIRSTB</v>
          </cell>
          <cell r="B663">
            <v>16</v>
          </cell>
        </row>
        <row r="664">
          <cell r="A664" t="str">
            <v>IDFCFIRSTB</v>
          </cell>
          <cell r="B664">
            <v>20</v>
          </cell>
        </row>
        <row r="665">
          <cell r="A665" t="str">
            <v>IDFCFIRSTB</v>
          </cell>
          <cell r="B665">
            <v>1</v>
          </cell>
        </row>
        <row r="666">
          <cell r="A666" t="str">
            <v>IDFCFIRSTB</v>
          </cell>
          <cell r="B666">
            <v>4</v>
          </cell>
        </row>
        <row r="667">
          <cell r="A667" t="str">
            <v>IDFCFIRSTB</v>
          </cell>
          <cell r="B667">
            <v>102</v>
          </cell>
        </row>
        <row r="668">
          <cell r="A668" t="str">
            <v>IDFCFIRSTB</v>
          </cell>
          <cell r="B668">
            <v>12</v>
          </cell>
        </row>
        <row r="669">
          <cell r="A669" t="str">
            <v>IDFCFIRSTB</v>
          </cell>
          <cell r="B669">
            <v>18</v>
          </cell>
        </row>
        <row r="670">
          <cell r="A670" t="str">
            <v>IDFNIFTYET</v>
          </cell>
          <cell r="B670">
            <v>924</v>
          </cell>
        </row>
        <row r="671">
          <cell r="A671" t="str">
            <v>IEX</v>
          </cell>
          <cell r="B671">
            <v>367645</v>
          </cell>
        </row>
        <row r="672">
          <cell r="A672" t="str">
            <v>IFBAGRO</v>
          </cell>
          <cell r="B672">
            <v>11609</v>
          </cell>
        </row>
        <row r="673">
          <cell r="A673" t="str">
            <v>IFBIND</v>
          </cell>
          <cell r="B673">
            <v>29617</v>
          </cell>
        </row>
        <row r="674">
          <cell r="A674" t="str">
            <v>IFCI</v>
          </cell>
          <cell r="B674">
            <v>4289377</v>
          </cell>
        </row>
        <row r="675">
          <cell r="A675" t="str">
            <v>IFCI</v>
          </cell>
          <cell r="B675">
            <v>133</v>
          </cell>
        </row>
        <row r="676">
          <cell r="A676" t="str">
            <v>IFCI</v>
          </cell>
          <cell r="B676">
            <v>110</v>
          </cell>
        </row>
        <row r="677">
          <cell r="A677" t="str">
            <v>IFCI</v>
          </cell>
          <cell r="B677">
            <v>1108</v>
          </cell>
        </row>
        <row r="678">
          <cell r="A678" t="str">
            <v>IFCI</v>
          </cell>
          <cell r="B678">
            <v>171</v>
          </cell>
        </row>
        <row r="679">
          <cell r="A679" t="str">
            <v>IFCI</v>
          </cell>
          <cell r="B679">
            <v>125</v>
          </cell>
        </row>
        <row r="680">
          <cell r="A680" t="str">
            <v>IFGLEXPOR</v>
          </cell>
          <cell r="B680">
            <v>2230</v>
          </cell>
        </row>
        <row r="681">
          <cell r="A681" t="str">
            <v>IGARASHI</v>
          </cell>
          <cell r="B681">
            <v>241868</v>
          </cell>
        </row>
        <row r="682">
          <cell r="A682" t="str">
            <v>IGL</v>
          </cell>
          <cell r="B682">
            <v>2423236</v>
          </cell>
        </row>
        <row r="683">
          <cell r="A683" t="str">
            <v>IGPL</v>
          </cell>
          <cell r="B683">
            <v>8278</v>
          </cell>
        </row>
        <row r="684">
          <cell r="A684" t="str">
            <v>IIFCL</v>
          </cell>
          <cell r="B684">
            <v>443</v>
          </cell>
        </row>
        <row r="685">
          <cell r="A685" t="str">
            <v>IIFCL</v>
          </cell>
          <cell r="B685">
            <v>356</v>
          </cell>
        </row>
        <row r="686">
          <cell r="A686" t="str">
            <v>IIFL</v>
          </cell>
          <cell r="B686">
            <v>289033</v>
          </cell>
        </row>
        <row r="687">
          <cell r="A687" t="str">
            <v>IIFLFIN</v>
          </cell>
          <cell r="B687">
            <v>579</v>
          </cell>
        </row>
        <row r="688">
          <cell r="A688" t="str">
            <v>IIFLFIN</v>
          </cell>
          <cell r="B688">
            <v>453</v>
          </cell>
        </row>
        <row r="689">
          <cell r="A689" t="str">
            <v>IIFLFIN</v>
          </cell>
          <cell r="B689">
            <v>123</v>
          </cell>
        </row>
        <row r="690">
          <cell r="A690" t="str">
            <v>IIFLFIN</v>
          </cell>
          <cell r="B690">
            <v>212</v>
          </cell>
        </row>
        <row r="691">
          <cell r="A691" t="str">
            <v>IIFLFIN</v>
          </cell>
          <cell r="B691">
            <v>10</v>
          </cell>
        </row>
        <row r="692">
          <cell r="A692" t="str">
            <v>IIFLSEC</v>
          </cell>
          <cell r="B692">
            <v>251467</v>
          </cell>
        </row>
        <row r="693">
          <cell r="A693" t="str">
            <v>IIFLWAM</v>
          </cell>
          <cell r="B693">
            <v>18739</v>
          </cell>
        </row>
        <row r="694">
          <cell r="A694" t="str">
            <v>IMFA</v>
          </cell>
          <cell r="B694">
            <v>13295</v>
          </cell>
        </row>
        <row r="695">
          <cell r="A695" t="str">
            <v>IMPAL</v>
          </cell>
          <cell r="B695">
            <v>5085</v>
          </cell>
        </row>
        <row r="696">
          <cell r="A696" t="str">
            <v>INDBANK</v>
          </cell>
          <cell r="B696">
            <v>90515</v>
          </cell>
        </row>
        <row r="697">
          <cell r="A697" t="str">
            <v>INDHOTEL</v>
          </cell>
          <cell r="B697">
            <v>4184284</v>
          </cell>
        </row>
        <row r="698">
          <cell r="A698" t="str">
            <v>INDIACEM</v>
          </cell>
          <cell r="B698">
            <v>7119100</v>
          </cell>
        </row>
        <row r="699">
          <cell r="A699" t="str">
            <v>INDIAGLYCO</v>
          </cell>
          <cell r="B699">
            <v>191422</v>
          </cell>
        </row>
        <row r="700">
          <cell r="A700" t="str">
            <v>INDIAMART</v>
          </cell>
          <cell r="B700">
            <v>54332</v>
          </cell>
        </row>
        <row r="701">
          <cell r="A701" t="str">
            <v>INDIANB</v>
          </cell>
          <cell r="B701">
            <v>3911235</v>
          </cell>
        </row>
        <row r="702">
          <cell r="A702" t="str">
            <v>INDIANCARD</v>
          </cell>
          <cell r="B702">
            <v>1051</v>
          </cell>
        </row>
        <row r="703">
          <cell r="A703" t="str">
            <v>INDIANHUME</v>
          </cell>
          <cell r="B703">
            <v>65141</v>
          </cell>
        </row>
        <row r="704">
          <cell r="A704" t="str">
            <v>INDIGO</v>
          </cell>
          <cell r="B704">
            <v>5402344</v>
          </cell>
        </row>
        <row r="705">
          <cell r="A705" t="str">
            <v>INDIGRID</v>
          </cell>
          <cell r="B705">
            <v>117369</v>
          </cell>
        </row>
        <row r="706">
          <cell r="A706" t="str">
            <v>INDLMETER</v>
          </cell>
          <cell r="B706">
            <v>3556</v>
          </cell>
        </row>
        <row r="707">
          <cell r="A707" t="str">
            <v>INDNIPPON</v>
          </cell>
          <cell r="B707">
            <v>244649</v>
          </cell>
        </row>
        <row r="708">
          <cell r="A708" t="str">
            <v>INDOCO</v>
          </cell>
          <cell r="B708">
            <v>63517</v>
          </cell>
        </row>
        <row r="709">
          <cell r="A709" t="str">
            <v>INDORAMA</v>
          </cell>
          <cell r="B709">
            <v>14823</v>
          </cell>
        </row>
        <row r="710">
          <cell r="A710" t="str">
            <v>INDOSTAR</v>
          </cell>
          <cell r="B710">
            <v>27011</v>
          </cell>
        </row>
        <row r="711">
          <cell r="A711" t="str">
            <v>INDOTECH</v>
          </cell>
          <cell r="B711">
            <v>3753</v>
          </cell>
        </row>
        <row r="712">
          <cell r="A712" t="str">
            <v>INDOTHAI</v>
          </cell>
          <cell r="B712">
            <v>3100</v>
          </cell>
        </row>
        <row r="713">
          <cell r="A713" t="str">
            <v>INDOWIND</v>
          </cell>
          <cell r="B713">
            <v>38416</v>
          </cell>
        </row>
        <row r="714">
          <cell r="A714" t="str">
            <v>INDRAMEDCO</v>
          </cell>
          <cell r="B714">
            <v>116939</v>
          </cell>
        </row>
        <row r="715">
          <cell r="A715" t="str">
            <v>INDTERRAIN</v>
          </cell>
          <cell r="B715">
            <v>5725</v>
          </cell>
        </row>
        <row r="716">
          <cell r="A716" t="str">
            <v>INDUSINDBK</v>
          </cell>
          <cell r="B716">
            <v>26655548</v>
          </cell>
        </row>
        <row r="717">
          <cell r="A717" t="str">
            <v>INEOSSTYRO</v>
          </cell>
          <cell r="B717">
            <v>4002</v>
          </cell>
        </row>
        <row r="718">
          <cell r="A718" t="str">
            <v>INFIBEAM</v>
          </cell>
          <cell r="B718">
            <v>1963881</v>
          </cell>
        </row>
        <row r="719">
          <cell r="A719" t="str">
            <v>INFOMEDIA</v>
          </cell>
          <cell r="B719">
            <v>5376</v>
          </cell>
        </row>
        <row r="720">
          <cell r="A720" t="str">
            <v>INFRABEES</v>
          </cell>
          <cell r="B720">
            <v>987</v>
          </cell>
        </row>
        <row r="721">
          <cell r="A721" t="str">
            <v>INFRATEL</v>
          </cell>
          <cell r="B721">
            <v>5671218</v>
          </cell>
        </row>
        <row r="722">
          <cell r="A722" t="str">
            <v>INFY</v>
          </cell>
          <cell r="B722">
            <v>16254036</v>
          </cell>
        </row>
        <row r="723">
          <cell r="A723" t="str">
            <v>INGERRAND</v>
          </cell>
          <cell r="B723">
            <v>7238</v>
          </cell>
        </row>
        <row r="724">
          <cell r="A724" t="str">
            <v>INOXLEISUR</v>
          </cell>
          <cell r="B724">
            <v>734032</v>
          </cell>
        </row>
        <row r="725">
          <cell r="A725" t="str">
            <v>INOXWIND</v>
          </cell>
          <cell r="B725">
            <v>89543</v>
          </cell>
        </row>
        <row r="726">
          <cell r="A726" t="str">
            <v>INSECTICID</v>
          </cell>
          <cell r="B726">
            <v>16119</v>
          </cell>
        </row>
        <row r="727">
          <cell r="A727" t="str">
            <v>INSPIRISYS</v>
          </cell>
          <cell r="B727">
            <v>4983</v>
          </cell>
        </row>
        <row r="728">
          <cell r="A728" t="str">
            <v>INTELLECT</v>
          </cell>
          <cell r="B728">
            <v>71893</v>
          </cell>
        </row>
        <row r="729">
          <cell r="A729" t="str">
            <v>INTENTECH</v>
          </cell>
          <cell r="B729">
            <v>7820</v>
          </cell>
        </row>
        <row r="730">
          <cell r="A730" t="str">
            <v>IOB</v>
          </cell>
          <cell r="B730">
            <v>1423710</v>
          </cell>
        </row>
        <row r="731">
          <cell r="A731" t="str">
            <v>IOC</v>
          </cell>
          <cell r="B731">
            <v>21193860</v>
          </cell>
        </row>
        <row r="732">
          <cell r="A732" t="str">
            <v>IOLCP</v>
          </cell>
          <cell r="B732">
            <v>1053037</v>
          </cell>
        </row>
        <row r="733">
          <cell r="A733" t="str">
            <v>IPCALAB</v>
          </cell>
          <cell r="B733">
            <v>859361</v>
          </cell>
        </row>
        <row r="734">
          <cell r="A734" t="str">
            <v>IRB</v>
          </cell>
          <cell r="B734">
            <v>1771748</v>
          </cell>
        </row>
        <row r="735">
          <cell r="A735" t="str">
            <v>IRBINVIT</v>
          </cell>
          <cell r="B735">
            <v>505000</v>
          </cell>
        </row>
        <row r="736">
          <cell r="A736" t="str">
            <v>IRCON</v>
          </cell>
          <cell r="B736">
            <v>407630</v>
          </cell>
        </row>
        <row r="737">
          <cell r="A737" t="str">
            <v>IRCTC</v>
          </cell>
          <cell r="B737">
            <v>799185</v>
          </cell>
        </row>
        <row r="738">
          <cell r="A738" t="str">
            <v>IREDA</v>
          </cell>
          <cell r="B738">
            <v>55</v>
          </cell>
        </row>
        <row r="739">
          <cell r="A739" t="str">
            <v>IREDA</v>
          </cell>
          <cell r="B739">
            <v>2</v>
          </cell>
        </row>
        <row r="740">
          <cell r="A740" t="str">
            <v>IRFC</v>
          </cell>
          <cell r="B740">
            <v>1710</v>
          </cell>
        </row>
        <row r="741">
          <cell r="A741" t="str">
            <v>IRFC</v>
          </cell>
          <cell r="B741">
            <v>2300</v>
          </cell>
        </row>
        <row r="742">
          <cell r="A742" t="str">
            <v>IRFC</v>
          </cell>
          <cell r="B742">
            <v>2</v>
          </cell>
        </row>
        <row r="743">
          <cell r="A743" t="str">
            <v>IRFC</v>
          </cell>
          <cell r="B743">
            <v>250</v>
          </cell>
        </row>
        <row r="744">
          <cell r="A744" t="str">
            <v>IRFC</v>
          </cell>
          <cell r="B744">
            <v>133</v>
          </cell>
        </row>
        <row r="745">
          <cell r="A745" t="str">
            <v>IRFC</v>
          </cell>
          <cell r="B745">
            <v>371</v>
          </cell>
        </row>
        <row r="746">
          <cell r="A746" t="str">
            <v>IRFC</v>
          </cell>
          <cell r="B746">
            <v>200</v>
          </cell>
        </row>
        <row r="747">
          <cell r="A747" t="str">
            <v>IRFC</v>
          </cell>
          <cell r="B747">
            <v>161</v>
          </cell>
        </row>
        <row r="748">
          <cell r="A748" t="str">
            <v>IRFC</v>
          </cell>
          <cell r="B748">
            <v>35</v>
          </cell>
        </row>
        <row r="749">
          <cell r="A749" t="str">
            <v>IRFC</v>
          </cell>
          <cell r="B749">
            <v>1232</v>
          </cell>
        </row>
        <row r="750">
          <cell r="A750" t="str">
            <v>IRFC</v>
          </cell>
          <cell r="B750">
            <v>1</v>
          </cell>
        </row>
        <row r="751">
          <cell r="A751" t="str">
            <v>IRFC</v>
          </cell>
          <cell r="B751">
            <v>1627</v>
          </cell>
        </row>
        <row r="752">
          <cell r="A752" t="str">
            <v>ISEC</v>
          </cell>
          <cell r="B752">
            <v>770922</v>
          </cell>
        </row>
        <row r="753">
          <cell r="A753" t="str">
            <v>ISFT</v>
          </cell>
          <cell r="B753">
            <v>1199</v>
          </cell>
        </row>
        <row r="754">
          <cell r="A754" t="str">
            <v>ISMTLTD</v>
          </cell>
          <cell r="B754">
            <v>32337</v>
          </cell>
        </row>
        <row r="755">
          <cell r="A755" t="str">
            <v>ITC</v>
          </cell>
          <cell r="B755">
            <v>30169126</v>
          </cell>
        </row>
        <row r="756">
          <cell r="A756" t="str">
            <v>ITDC</v>
          </cell>
          <cell r="B756">
            <v>34243</v>
          </cell>
        </row>
        <row r="757">
          <cell r="A757" t="str">
            <v>ITDCEM</v>
          </cell>
          <cell r="B757">
            <v>188848</v>
          </cell>
        </row>
        <row r="758">
          <cell r="A758" t="str">
            <v>ITI</v>
          </cell>
          <cell r="B758">
            <v>1610467</v>
          </cell>
        </row>
        <row r="759">
          <cell r="A759" t="str">
            <v>IVC</v>
          </cell>
          <cell r="B759">
            <v>160879</v>
          </cell>
        </row>
        <row r="760">
          <cell r="A760" t="str">
            <v>IVZINGOLD</v>
          </cell>
          <cell r="B760">
            <v>9</v>
          </cell>
        </row>
        <row r="761">
          <cell r="A761" t="str">
            <v>IVZINNIFTY</v>
          </cell>
          <cell r="B761">
            <v>15</v>
          </cell>
        </row>
        <row r="762">
          <cell r="A762" t="str">
            <v>JAGRAN</v>
          </cell>
          <cell r="B762">
            <v>800985</v>
          </cell>
        </row>
        <row r="763">
          <cell r="A763" t="str">
            <v>JAGSNPHARM</v>
          </cell>
          <cell r="B763">
            <v>24721</v>
          </cell>
        </row>
        <row r="764">
          <cell r="A764" t="str">
            <v>JAICORPLTD</v>
          </cell>
          <cell r="B764">
            <v>1854907</v>
          </cell>
        </row>
        <row r="765">
          <cell r="A765" t="str">
            <v>JAMNAAUTO</v>
          </cell>
          <cell r="B765">
            <v>2128091</v>
          </cell>
        </row>
        <row r="766">
          <cell r="A766" t="str">
            <v>JAYBARMARU</v>
          </cell>
          <cell r="B766">
            <v>23427</v>
          </cell>
        </row>
        <row r="767">
          <cell r="A767" t="str">
            <v>JAYNECOIND</v>
          </cell>
          <cell r="B767">
            <v>16542</v>
          </cell>
        </row>
        <row r="768">
          <cell r="A768" t="str">
            <v>JBCHEPHARM</v>
          </cell>
          <cell r="B768">
            <v>233142</v>
          </cell>
        </row>
        <row r="769">
          <cell r="A769" t="str">
            <v>JBMA</v>
          </cell>
          <cell r="B769">
            <v>16717</v>
          </cell>
        </row>
        <row r="770">
          <cell r="A770" t="str">
            <v>JCHAC</v>
          </cell>
          <cell r="B770">
            <v>12232</v>
          </cell>
        </row>
        <row r="771">
          <cell r="A771" t="str">
            <v>JHS</v>
          </cell>
          <cell r="B771">
            <v>62114</v>
          </cell>
        </row>
        <row r="772">
          <cell r="A772" t="str">
            <v>JINDALPOLY</v>
          </cell>
          <cell r="B772">
            <v>36648</v>
          </cell>
        </row>
        <row r="773">
          <cell r="A773" t="str">
            <v>JINDALSAW</v>
          </cell>
          <cell r="B773">
            <v>2165116</v>
          </cell>
        </row>
        <row r="774">
          <cell r="A774" t="str">
            <v>JINDALSTEL</v>
          </cell>
          <cell r="B774">
            <v>31628041</v>
          </cell>
        </row>
        <row r="775">
          <cell r="A775" t="str">
            <v>JINDRILL</v>
          </cell>
          <cell r="B775">
            <v>25755</v>
          </cell>
        </row>
        <row r="776">
          <cell r="A776" t="str">
            <v>JINDWORLD</v>
          </cell>
          <cell r="B776">
            <v>11257</v>
          </cell>
        </row>
        <row r="777">
          <cell r="A777" t="str">
            <v>JISLDVREQS</v>
          </cell>
          <cell r="B777">
            <v>510024</v>
          </cell>
        </row>
        <row r="778">
          <cell r="A778" t="str">
            <v>JIYAECO</v>
          </cell>
          <cell r="B778">
            <v>18212</v>
          </cell>
        </row>
        <row r="779">
          <cell r="A779" t="str">
            <v>J&amp;KBANK</v>
          </cell>
          <cell r="B779">
            <v>2559751</v>
          </cell>
        </row>
        <row r="780">
          <cell r="A780" t="str">
            <v>JKCEMENT</v>
          </cell>
          <cell r="B780">
            <v>219907</v>
          </cell>
        </row>
        <row r="781">
          <cell r="A781" t="str">
            <v>JKIL</v>
          </cell>
          <cell r="B781">
            <v>198169</v>
          </cell>
        </row>
        <row r="782">
          <cell r="A782" t="str">
            <v>JKLAKSHMI</v>
          </cell>
          <cell r="B782">
            <v>210029</v>
          </cell>
        </row>
        <row r="783">
          <cell r="A783" t="str">
            <v>JKPAPER</v>
          </cell>
          <cell r="B783">
            <v>1708194</v>
          </cell>
        </row>
        <row r="784">
          <cell r="A784" t="str">
            <v>JKTYRE</v>
          </cell>
          <cell r="B784">
            <v>1480246</v>
          </cell>
        </row>
        <row r="785">
          <cell r="A785" t="str">
            <v>JMA</v>
          </cell>
          <cell r="B785">
            <v>3178</v>
          </cell>
        </row>
        <row r="786">
          <cell r="A786" t="str">
            <v>JMCPROJECT</v>
          </cell>
          <cell r="B786">
            <v>133999</v>
          </cell>
        </row>
        <row r="787">
          <cell r="A787" t="str">
            <v>JMFINANCIL</v>
          </cell>
          <cell r="B787">
            <v>1352444</v>
          </cell>
        </row>
        <row r="788">
          <cell r="A788" t="str">
            <v>JOCIL</v>
          </cell>
          <cell r="B788">
            <v>281584</v>
          </cell>
        </row>
        <row r="789">
          <cell r="A789" t="str">
            <v>JPASSOCIAT</v>
          </cell>
          <cell r="B789">
            <v>1553107</v>
          </cell>
        </row>
        <row r="790">
          <cell r="A790" t="str">
            <v>JPOLYINVST</v>
          </cell>
          <cell r="B790">
            <v>4312</v>
          </cell>
        </row>
        <row r="791">
          <cell r="A791" t="str">
            <v>JSL</v>
          </cell>
          <cell r="B791">
            <v>292403</v>
          </cell>
        </row>
        <row r="792">
          <cell r="A792" t="str">
            <v>JSLHISAR</v>
          </cell>
          <cell r="B792">
            <v>132426</v>
          </cell>
        </row>
        <row r="793">
          <cell r="A793" t="str">
            <v>JSWENERGY</v>
          </cell>
          <cell r="B793">
            <v>4349174</v>
          </cell>
        </row>
        <row r="794">
          <cell r="A794" t="str">
            <v>JSWHL</v>
          </cell>
          <cell r="B794">
            <v>593</v>
          </cell>
        </row>
        <row r="795">
          <cell r="A795" t="str">
            <v>JSWSTEEL</v>
          </cell>
          <cell r="B795">
            <v>16023589</v>
          </cell>
        </row>
        <row r="796">
          <cell r="A796" t="str">
            <v>JTEKTINDIA</v>
          </cell>
          <cell r="B796">
            <v>335048</v>
          </cell>
        </row>
        <row r="797">
          <cell r="A797" t="str">
            <v>JUBILANT</v>
          </cell>
          <cell r="B797">
            <v>328063</v>
          </cell>
        </row>
        <row r="798">
          <cell r="A798" t="str">
            <v>JUBLFOOD</v>
          </cell>
          <cell r="B798">
            <v>1705977</v>
          </cell>
        </row>
        <row r="799">
          <cell r="A799" t="str">
            <v>JUBLINDS</v>
          </cell>
          <cell r="B799">
            <v>9573</v>
          </cell>
        </row>
        <row r="800">
          <cell r="A800" t="str">
            <v>JUMPNET</v>
          </cell>
          <cell r="B800">
            <v>84253</v>
          </cell>
        </row>
        <row r="801">
          <cell r="A801" t="str">
            <v>JUNIORBEES</v>
          </cell>
          <cell r="B801">
            <v>240560</v>
          </cell>
        </row>
        <row r="802">
          <cell r="A802" t="str">
            <v>JUSTDIAL</v>
          </cell>
          <cell r="B802">
            <v>8589800</v>
          </cell>
        </row>
        <row r="803">
          <cell r="A803" t="str">
            <v>JYOTHYLAB</v>
          </cell>
          <cell r="B803">
            <v>338311</v>
          </cell>
        </row>
        <row r="804">
          <cell r="A804" t="str">
            <v>KABRAEXTRU</v>
          </cell>
          <cell r="B804">
            <v>7606</v>
          </cell>
        </row>
        <row r="805">
          <cell r="A805" t="str">
            <v>KAJARIACER</v>
          </cell>
          <cell r="B805">
            <v>3464620</v>
          </cell>
        </row>
        <row r="806">
          <cell r="A806" t="str">
            <v>KAKATCEM</v>
          </cell>
          <cell r="B806">
            <v>28308</v>
          </cell>
        </row>
        <row r="807">
          <cell r="A807" t="str">
            <v>KALPATPOWR</v>
          </cell>
          <cell r="B807">
            <v>680416</v>
          </cell>
        </row>
        <row r="808">
          <cell r="A808" t="str">
            <v>KAMATHOTEL</v>
          </cell>
          <cell r="B808">
            <v>37293</v>
          </cell>
        </row>
        <row r="809">
          <cell r="A809" t="str">
            <v>KAMDHENU</v>
          </cell>
          <cell r="B809">
            <v>16294</v>
          </cell>
        </row>
        <row r="810">
          <cell r="A810" t="str">
            <v>KANANIIND</v>
          </cell>
          <cell r="B810">
            <v>12190</v>
          </cell>
        </row>
        <row r="811">
          <cell r="A811" t="str">
            <v>KANORICHEM</v>
          </cell>
          <cell r="B811">
            <v>20726</v>
          </cell>
        </row>
        <row r="812">
          <cell r="A812" t="str">
            <v>KANSAINER</v>
          </cell>
          <cell r="B812">
            <v>233863</v>
          </cell>
        </row>
        <row r="813">
          <cell r="A813" t="str">
            <v>KAPSTON</v>
          </cell>
          <cell r="B813">
            <v>1400</v>
          </cell>
        </row>
        <row r="814">
          <cell r="A814" t="str">
            <v>KARDA</v>
          </cell>
          <cell r="B814">
            <v>11116</v>
          </cell>
        </row>
        <row r="815">
          <cell r="A815" t="str">
            <v>KARMAENG</v>
          </cell>
          <cell r="B815">
            <v>158</v>
          </cell>
        </row>
        <row r="816">
          <cell r="A816" t="str">
            <v>KARURVYSYA</v>
          </cell>
          <cell r="B816">
            <v>846031</v>
          </cell>
        </row>
        <row r="817">
          <cell r="A817" t="str">
            <v>KAYA</v>
          </cell>
          <cell r="B817">
            <v>15047</v>
          </cell>
        </row>
        <row r="818">
          <cell r="A818" t="str">
            <v>KCP</v>
          </cell>
          <cell r="B818">
            <v>197908</v>
          </cell>
        </row>
        <row r="819">
          <cell r="A819" t="str">
            <v>KCPSUGIND</v>
          </cell>
          <cell r="B819">
            <v>64218</v>
          </cell>
        </row>
        <row r="820">
          <cell r="A820" t="str">
            <v>KDDL</v>
          </cell>
          <cell r="B820">
            <v>2816</v>
          </cell>
        </row>
        <row r="821">
          <cell r="A821" t="str">
            <v>KEC</v>
          </cell>
          <cell r="B821">
            <v>1069238</v>
          </cell>
        </row>
        <row r="822">
          <cell r="A822" t="str">
            <v>KECL</v>
          </cell>
          <cell r="B822">
            <v>38844</v>
          </cell>
        </row>
        <row r="823">
          <cell r="A823" t="str">
            <v>KEI</v>
          </cell>
          <cell r="B823">
            <v>243707</v>
          </cell>
        </row>
        <row r="824">
          <cell r="A824" t="str">
            <v>KELLTONTEC</v>
          </cell>
          <cell r="B824">
            <v>273968</v>
          </cell>
        </row>
        <row r="825">
          <cell r="A825" t="str">
            <v>KENNAMET</v>
          </cell>
          <cell r="B825">
            <v>7852</v>
          </cell>
        </row>
        <row r="826">
          <cell r="A826" t="str">
            <v>KESORAMIND</v>
          </cell>
          <cell r="B826">
            <v>129954</v>
          </cell>
        </row>
        <row r="827">
          <cell r="A827" t="str">
            <v>KHADIM</v>
          </cell>
          <cell r="B827">
            <v>102524</v>
          </cell>
        </row>
        <row r="828">
          <cell r="A828" t="str">
            <v>KHFM</v>
          </cell>
          <cell r="B828">
            <v>57000</v>
          </cell>
        </row>
        <row r="829">
          <cell r="A829" t="str">
            <v>KICL</v>
          </cell>
          <cell r="B829">
            <v>1623</v>
          </cell>
        </row>
        <row r="830">
          <cell r="A830" t="str">
            <v>KILITCH</v>
          </cell>
          <cell r="B830">
            <v>8618</v>
          </cell>
        </row>
        <row r="831">
          <cell r="A831" t="str">
            <v>KINGFA</v>
          </cell>
          <cell r="B831">
            <v>11898</v>
          </cell>
        </row>
        <row r="832">
          <cell r="A832" t="str">
            <v>KIOCL</v>
          </cell>
          <cell r="B832">
            <v>16563</v>
          </cell>
        </row>
        <row r="833">
          <cell r="A833" t="str">
            <v>KIRIINDUS</v>
          </cell>
          <cell r="B833">
            <v>54712</v>
          </cell>
        </row>
        <row r="834">
          <cell r="A834" t="str">
            <v>KIRLFER</v>
          </cell>
          <cell r="B834">
            <v>7882</v>
          </cell>
        </row>
        <row r="835">
          <cell r="A835" t="str">
            <v>KIRLOSBROS</v>
          </cell>
          <cell r="B835">
            <v>31524</v>
          </cell>
        </row>
        <row r="836">
          <cell r="A836" t="str">
            <v>KIRLOSENG</v>
          </cell>
          <cell r="B836">
            <v>17402</v>
          </cell>
        </row>
        <row r="837">
          <cell r="A837" t="str">
            <v>KIRLOSIND</v>
          </cell>
          <cell r="B837">
            <v>1508</v>
          </cell>
        </row>
        <row r="838">
          <cell r="A838" t="str">
            <v>KITEX</v>
          </cell>
          <cell r="B838">
            <v>114625</v>
          </cell>
        </row>
        <row r="839">
          <cell r="A839" t="str">
            <v>KKCL</v>
          </cell>
          <cell r="B839">
            <v>1352</v>
          </cell>
        </row>
        <row r="840">
          <cell r="A840" t="str">
            <v>KMSUGAR</v>
          </cell>
          <cell r="B840">
            <v>173248</v>
          </cell>
        </row>
        <row r="841">
          <cell r="A841" t="str">
            <v>KNRCON</v>
          </cell>
          <cell r="B841">
            <v>404771</v>
          </cell>
        </row>
        <row r="842">
          <cell r="A842" t="str">
            <v>KOKUYOCMLN</v>
          </cell>
          <cell r="B842">
            <v>30780</v>
          </cell>
        </row>
        <row r="843">
          <cell r="A843" t="str">
            <v>KOLTEPATIL</v>
          </cell>
          <cell r="B843">
            <v>168599</v>
          </cell>
        </row>
        <row r="844">
          <cell r="A844" t="str">
            <v>KOPRAN</v>
          </cell>
          <cell r="B844">
            <v>64786</v>
          </cell>
        </row>
        <row r="845">
          <cell r="A845" t="str">
            <v>KOTAKBANK</v>
          </cell>
          <cell r="B845">
            <v>6272569</v>
          </cell>
        </row>
        <row r="846">
          <cell r="A846" t="str">
            <v>KOTAKBKETF</v>
          </cell>
          <cell r="B846">
            <v>267291</v>
          </cell>
        </row>
        <row r="847">
          <cell r="A847" t="str">
            <v>KOTAKGOLD</v>
          </cell>
          <cell r="B847">
            <v>133808</v>
          </cell>
        </row>
        <row r="848">
          <cell r="A848" t="str">
            <v>KOTAKNIFTY</v>
          </cell>
          <cell r="B848">
            <v>250846</v>
          </cell>
        </row>
        <row r="849">
          <cell r="A849" t="str">
            <v>KOTAKNV20</v>
          </cell>
          <cell r="B849">
            <v>13623</v>
          </cell>
        </row>
        <row r="850">
          <cell r="A850" t="str">
            <v>KOTAKPSUBK</v>
          </cell>
          <cell r="B850">
            <v>14437</v>
          </cell>
        </row>
        <row r="851">
          <cell r="A851" t="str">
            <v>KOTARISUG</v>
          </cell>
          <cell r="B851">
            <v>35388</v>
          </cell>
        </row>
        <row r="852">
          <cell r="A852" t="str">
            <v>KOTHARIPET</v>
          </cell>
          <cell r="B852">
            <v>4677</v>
          </cell>
        </row>
        <row r="853">
          <cell r="A853" t="str">
            <v>KOTHARIPRO</v>
          </cell>
          <cell r="B853">
            <v>4122</v>
          </cell>
        </row>
        <row r="854">
          <cell r="A854" t="str">
            <v>KPITTECH</v>
          </cell>
          <cell r="B854">
            <v>95862</v>
          </cell>
        </row>
        <row r="855">
          <cell r="A855" t="str">
            <v>KPRMILL</v>
          </cell>
          <cell r="B855">
            <v>9944</v>
          </cell>
        </row>
        <row r="856">
          <cell r="A856" t="str">
            <v>KRBL</v>
          </cell>
          <cell r="B856">
            <v>388511</v>
          </cell>
        </row>
        <row r="857">
          <cell r="A857" t="str">
            <v>KREBSBIO</v>
          </cell>
          <cell r="B857">
            <v>7237</v>
          </cell>
        </row>
        <row r="858">
          <cell r="A858" t="str">
            <v>KRIDHANINF</v>
          </cell>
          <cell r="B858">
            <v>16802</v>
          </cell>
        </row>
        <row r="859">
          <cell r="A859" t="str">
            <v>KSB</v>
          </cell>
          <cell r="B859">
            <v>11232</v>
          </cell>
        </row>
        <row r="860">
          <cell r="A860" t="str">
            <v>KSCL</v>
          </cell>
          <cell r="B860">
            <v>160311</v>
          </cell>
        </row>
        <row r="861">
          <cell r="A861" t="str">
            <v>KSERASERA</v>
          </cell>
          <cell r="B861">
            <v>1967749</v>
          </cell>
        </row>
        <row r="862">
          <cell r="A862" t="str">
            <v>KSK</v>
          </cell>
          <cell r="B862">
            <v>602404</v>
          </cell>
        </row>
        <row r="863">
          <cell r="A863" t="str">
            <v>KSL</v>
          </cell>
          <cell r="B863">
            <v>169975</v>
          </cell>
        </row>
        <row r="864">
          <cell r="A864" t="str">
            <v>KTKBANK</v>
          </cell>
          <cell r="B864">
            <v>2260354</v>
          </cell>
        </row>
        <row r="865">
          <cell r="A865" t="str">
            <v>KUANTUM</v>
          </cell>
          <cell r="B865">
            <v>837</v>
          </cell>
        </row>
        <row r="866">
          <cell r="A866" t="str">
            <v>LAKSHVILAS</v>
          </cell>
          <cell r="B866">
            <v>1394950</v>
          </cell>
        </row>
        <row r="867">
          <cell r="A867" t="str">
            <v>LALPATHLAB</v>
          </cell>
          <cell r="B867">
            <v>151139</v>
          </cell>
        </row>
        <row r="868">
          <cell r="A868" t="str">
            <v>LAMBODHARA</v>
          </cell>
          <cell r="B868">
            <v>3552</v>
          </cell>
        </row>
        <row r="869">
          <cell r="A869" t="str">
            <v>LAOPALA</v>
          </cell>
          <cell r="B869">
            <v>51741</v>
          </cell>
        </row>
        <row r="870">
          <cell r="A870" t="str">
            <v>LAURUSLABS</v>
          </cell>
          <cell r="B870">
            <v>1691027</v>
          </cell>
        </row>
        <row r="871">
          <cell r="A871" t="str">
            <v>LAXMIMACH</v>
          </cell>
          <cell r="B871">
            <v>8287</v>
          </cell>
        </row>
        <row r="872">
          <cell r="A872" t="str">
            <v>LEMONTREE</v>
          </cell>
          <cell r="B872">
            <v>2029250</v>
          </cell>
        </row>
        <row r="873">
          <cell r="A873" t="str">
            <v>LEXUS</v>
          </cell>
          <cell r="B873">
            <v>2000</v>
          </cell>
        </row>
        <row r="874">
          <cell r="A874" t="str">
            <v>LFIC</v>
          </cell>
          <cell r="B874">
            <v>173</v>
          </cell>
        </row>
        <row r="875">
          <cell r="A875" t="str">
            <v>LGBBROSLTD</v>
          </cell>
          <cell r="B875">
            <v>27753</v>
          </cell>
        </row>
        <row r="876">
          <cell r="A876" t="str">
            <v>LGBFORGE</v>
          </cell>
          <cell r="B876">
            <v>79027</v>
          </cell>
        </row>
        <row r="877">
          <cell r="A877" t="str">
            <v>LIBERTSHOE</v>
          </cell>
          <cell r="B877">
            <v>87168</v>
          </cell>
        </row>
        <row r="878">
          <cell r="A878" t="str">
            <v>LICHSGFIN</v>
          </cell>
          <cell r="B878">
            <v>7040200</v>
          </cell>
        </row>
        <row r="879">
          <cell r="A879" t="str">
            <v>LICNETFGSC</v>
          </cell>
          <cell r="B879">
            <v>10005</v>
          </cell>
        </row>
        <row r="880">
          <cell r="A880" t="str">
            <v>LICNETFN50</v>
          </cell>
          <cell r="B880">
            <v>1815</v>
          </cell>
        </row>
        <row r="881">
          <cell r="A881" t="str">
            <v>LICNFNHGP</v>
          </cell>
          <cell r="B881">
            <v>25959</v>
          </cell>
        </row>
        <row r="882">
          <cell r="A882" t="str">
            <v>LINCOLN</v>
          </cell>
          <cell r="B882">
            <v>121262</v>
          </cell>
        </row>
        <row r="883">
          <cell r="A883" t="str">
            <v>LINCPEN</v>
          </cell>
          <cell r="B883">
            <v>2589</v>
          </cell>
        </row>
        <row r="884">
          <cell r="A884" t="str">
            <v>LINDEINDIA</v>
          </cell>
          <cell r="B884">
            <v>141126</v>
          </cell>
        </row>
        <row r="885">
          <cell r="A885" t="str">
            <v>LIQUIDBEES</v>
          </cell>
          <cell r="B885">
            <v>1954529</v>
          </cell>
        </row>
        <row r="886">
          <cell r="A886" t="str">
            <v>LIQUIDETF</v>
          </cell>
          <cell r="B886">
            <v>10595</v>
          </cell>
        </row>
        <row r="887">
          <cell r="A887" t="str">
            <v>LOKESHMACH</v>
          </cell>
          <cell r="B887">
            <v>21290</v>
          </cell>
        </row>
        <row r="888">
          <cell r="A888" t="str">
            <v>LOTUSEYE</v>
          </cell>
          <cell r="B888">
            <v>15184</v>
          </cell>
        </row>
        <row r="889">
          <cell r="A889" t="str">
            <v>LOVABLE</v>
          </cell>
          <cell r="B889">
            <v>102485</v>
          </cell>
        </row>
        <row r="890">
          <cell r="A890" t="str">
            <v>LPDC</v>
          </cell>
          <cell r="B890">
            <v>7872</v>
          </cell>
        </row>
        <row r="891">
          <cell r="A891" t="str">
            <v>LSIL</v>
          </cell>
          <cell r="B891">
            <v>344697</v>
          </cell>
        </row>
        <row r="892">
          <cell r="A892" t="str">
            <v>LT</v>
          </cell>
          <cell r="B892">
            <v>6333023</v>
          </cell>
        </row>
        <row r="893">
          <cell r="A893" t="str">
            <v>L&amp;TFH</v>
          </cell>
          <cell r="B893">
            <v>14299685</v>
          </cell>
        </row>
        <row r="894">
          <cell r="A894" t="str">
            <v>L&amp;TFINANCE</v>
          </cell>
          <cell r="B894">
            <v>10</v>
          </cell>
        </row>
        <row r="895">
          <cell r="A895" t="str">
            <v>L&amp;TFINANCE</v>
          </cell>
          <cell r="B895">
            <v>7</v>
          </cell>
        </row>
        <row r="896">
          <cell r="A896" t="str">
            <v>L&amp;TFINANCE</v>
          </cell>
          <cell r="B896">
            <v>60</v>
          </cell>
        </row>
        <row r="897">
          <cell r="A897" t="str">
            <v>L&amp;TFINANCE</v>
          </cell>
          <cell r="B897">
            <v>242</v>
          </cell>
        </row>
        <row r="898">
          <cell r="A898" t="str">
            <v>L&amp;TFINANCE</v>
          </cell>
          <cell r="B898">
            <v>203</v>
          </cell>
        </row>
        <row r="899">
          <cell r="A899" t="str">
            <v>L&amp;TFINANCE</v>
          </cell>
          <cell r="B899">
            <v>28</v>
          </cell>
        </row>
        <row r="900">
          <cell r="A900" t="str">
            <v>L&amp;TFINANCE</v>
          </cell>
          <cell r="B900">
            <v>234</v>
          </cell>
        </row>
        <row r="901">
          <cell r="A901" t="str">
            <v>L&amp;TFINANCE</v>
          </cell>
          <cell r="B901">
            <v>175</v>
          </cell>
        </row>
        <row r="902">
          <cell r="A902" t="str">
            <v>L&amp;TFINANCE</v>
          </cell>
          <cell r="B902">
            <v>85</v>
          </cell>
        </row>
        <row r="903">
          <cell r="A903" t="str">
            <v>L&amp;TFINANCE</v>
          </cell>
          <cell r="B903">
            <v>142</v>
          </cell>
        </row>
        <row r="904">
          <cell r="A904" t="str">
            <v>L&amp;TFINANCE</v>
          </cell>
          <cell r="B904">
            <v>125</v>
          </cell>
        </row>
        <row r="905">
          <cell r="A905" t="str">
            <v>L&amp;TFINANCE</v>
          </cell>
          <cell r="B905">
            <v>20</v>
          </cell>
        </row>
        <row r="906">
          <cell r="A906" t="str">
            <v>LTI</v>
          </cell>
          <cell r="B906">
            <v>236847</v>
          </cell>
        </row>
        <row r="907">
          <cell r="A907" t="str">
            <v>L&amp;TINFRA</v>
          </cell>
          <cell r="B907">
            <v>36</v>
          </cell>
        </row>
        <row r="908">
          <cell r="A908" t="str">
            <v>L&amp;TINFRA</v>
          </cell>
          <cell r="B908">
            <v>44</v>
          </cell>
        </row>
        <row r="909">
          <cell r="A909" t="str">
            <v>L&amp;TINFRA</v>
          </cell>
          <cell r="B909">
            <v>98</v>
          </cell>
        </row>
        <row r="910">
          <cell r="A910" t="str">
            <v>L&amp;TINFRA</v>
          </cell>
          <cell r="B910">
            <v>199</v>
          </cell>
        </row>
        <row r="911">
          <cell r="A911" t="str">
            <v>L&amp;TINFRA</v>
          </cell>
          <cell r="B911">
            <v>5</v>
          </cell>
        </row>
        <row r="912">
          <cell r="A912" t="str">
            <v>L&amp;TINFRA</v>
          </cell>
          <cell r="B912">
            <v>272</v>
          </cell>
        </row>
        <row r="913">
          <cell r="A913" t="str">
            <v>LTTS</v>
          </cell>
          <cell r="B913">
            <v>327649</v>
          </cell>
        </row>
        <row r="914">
          <cell r="A914" t="str">
            <v>LUMAXIND</v>
          </cell>
          <cell r="B914">
            <v>4719</v>
          </cell>
        </row>
        <row r="915">
          <cell r="A915" t="str">
            <v>LUMAXTECH</v>
          </cell>
          <cell r="B915">
            <v>45633</v>
          </cell>
        </row>
        <row r="916">
          <cell r="A916" t="str">
            <v>LUPIN</v>
          </cell>
          <cell r="B916">
            <v>7643331</v>
          </cell>
        </row>
        <row r="917">
          <cell r="A917" t="str">
            <v>LUXIND</v>
          </cell>
          <cell r="B917">
            <v>79770</v>
          </cell>
        </row>
        <row r="918">
          <cell r="A918" t="str">
            <v>LYKALABS</v>
          </cell>
          <cell r="B918">
            <v>17990</v>
          </cell>
        </row>
        <row r="919">
          <cell r="A919" t="str">
            <v>LYPSAGEMS</v>
          </cell>
          <cell r="B919">
            <v>41203</v>
          </cell>
        </row>
        <row r="920">
          <cell r="A920" t="str">
            <v>M100</v>
          </cell>
          <cell r="B920">
            <v>110672</v>
          </cell>
        </row>
        <row r="921">
          <cell r="A921" t="str">
            <v>M17RD</v>
          </cell>
          <cell r="B921">
            <v>10</v>
          </cell>
        </row>
        <row r="922">
          <cell r="A922" t="str">
            <v>M50</v>
          </cell>
          <cell r="B922">
            <v>1651</v>
          </cell>
        </row>
        <row r="923">
          <cell r="A923" t="str">
            <v>MAANALU</v>
          </cell>
          <cell r="B923">
            <v>4347</v>
          </cell>
        </row>
        <row r="924">
          <cell r="A924" t="str">
            <v>MACPOWER</v>
          </cell>
          <cell r="B924">
            <v>1000</v>
          </cell>
        </row>
        <row r="925">
          <cell r="A925" t="str">
            <v>MADHAV</v>
          </cell>
          <cell r="B925">
            <v>2871</v>
          </cell>
        </row>
        <row r="926">
          <cell r="A926" t="str">
            <v>MAGADSUGAR</v>
          </cell>
          <cell r="B926">
            <v>8355</v>
          </cell>
        </row>
        <row r="927">
          <cell r="A927" t="str">
            <v>MAGMA</v>
          </cell>
          <cell r="B927">
            <v>621814</v>
          </cell>
        </row>
        <row r="928">
          <cell r="A928" t="str">
            <v>MAGMA</v>
          </cell>
          <cell r="B928">
            <v>5</v>
          </cell>
        </row>
        <row r="929">
          <cell r="A929" t="str">
            <v>MAHABANK</v>
          </cell>
          <cell r="B929">
            <v>831772</v>
          </cell>
        </row>
        <row r="930">
          <cell r="A930" t="str">
            <v>MAHEPC</v>
          </cell>
          <cell r="B930">
            <v>114474</v>
          </cell>
        </row>
        <row r="931">
          <cell r="A931" t="str">
            <v>MAHESHWARI</v>
          </cell>
          <cell r="B931">
            <v>1464</v>
          </cell>
        </row>
        <row r="932">
          <cell r="A932" t="str">
            <v>MAHINDCIE</v>
          </cell>
          <cell r="B932">
            <v>16234</v>
          </cell>
        </row>
        <row r="933">
          <cell r="A933" t="str">
            <v>MAHLIFE</v>
          </cell>
          <cell r="B933">
            <v>57481</v>
          </cell>
        </row>
        <row r="934">
          <cell r="A934" t="str">
            <v>MAHLOG</v>
          </cell>
          <cell r="B934">
            <v>253447</v>
          </cell>
        </row>
        <row r="935">
          <cell r="A935" t="str">
            <v>MAHSCOOTER</v>
          </cell>
          <cell r="B935">
            <v>12674</v>
          </cell>
        </row>
        <row r="936">
          <cell r="A936" t="str">
            <v>MAHSEAMLES</v>
          </cell>
          <cell r="B936">
            <v>1628463</v>
          </cell>
        </row>
        <row r="937">
          <cell r="A937" t="str">
            <v>MAITHANALL</v>
          </cell>
          <cell r="B937">
            <v>42649</v>
          </cell>
        </row>
        <row r="938">
          <cell r="A938" t="str">
            <v>MAJESCO</v>
          </cell>
          <cell r="B938">
            <v>70728</v>
          </cell>
        </row>
        <row r="939">
          <cell r="A939" t="str">
            <v>MALUPAPER</v>
          </cell>
          <cell r="B939">
            <v>24778</v>
          </cell>
        </row>
        <row r="940">
          <cell r="A940" t="str">
            <v>MAN50ETF</v>
          </cell>
          <cell r="B940">
            <v>5452</v>
          </cell>
        </row>
        <row r="941">
          <cell r="A941" t="str">
            <v>MANAKALUCO</v>
          </cell>
          <cell r="B941">
            <v>53497</v>
          </cell>
        </row>
        <row r="942">
          <cell r="A942" t="str">
            <v>MANAKCOAT</v>
          </cell>
          <cell r="B942">
            <v>1650</v>
          </cell>
        </row>
        <row r="943">
          <cell r="A943" t="str">
            <v>MANAKSTEEL</v>
          </cell>
          <cell r="B943">
            <v>20112</v>
          </cell>
        </row>
        <row r="944">
          <cell r="A944" t="str">
            <v>MANALIPETC</v>
          </cell>
          <cell r="B944">
            <v>182313</v>
          </cell>
        </row>
        <row r="945">
          <cell r="A945" t="str">
            <v>MANAPPURAM</v>
          </cell>
          <cell r="B945">
            <v>19668651</v>
          </cell>
        </row>
        <row r="946">
          <cell r="A946" t="str">
            <v>MANGCHEFER</v>
          </cell>
          <cell r="B946">
            <v>86127</v>
          </cell>
        </row>
        <row r="947">
          <cell r="A947" t="str">
            <v>MANGLMCEM</v>
          </cell>
          <cell r="B947">
            <v>100962</v>
          </cell>
        </row>
        <row r="948">
          <cell r="A948" t="str">
            <v>MANGTIMBER</v>
          </cell>
          <cell r="B948">
            <v>4044</v>
          </cell>
        </row>
        <row r="949">
          <cell r="A949" t="str">
            <v>MANINDS</v>
          </cell>
          <cell r="B949">
            <v>871736</v>
          </cell>
        </row>
        <row r="950">
          <cell r="A950" t="str">
            <v>MANINFRA</v>
          </cell>
          <cell r="B950">
            <v>226237</v>
          </cell>
        </row>
        <row r="951">
          <cell r="A951" t="str">
            <v>MANUGRAPH</v>
          </cell>
          <cell r="B951">
            <v>29467</v>
          </cell>
        </row>
        <row r="952">
          <cell r="A952" t="str">
            <v>MANXT50</v>
          </cell>
          <cell r="B952">
            <v>495</v>
          </cell>
        </row>
        <row r="953">
          <cell r="A953" t="str">
            <v>MARALOVER</v>
          </cell>
          <cell r="B953">
            <v>6610</v>
          </cell>
        </row>
        <row r="954">
          <cell r="A954" t="str">
            <v>MARATHON</v>
          </cell>
          <cell r="B954">
            <v>13353</v>
          </cell>
        </row>
        <row r="955">
          <cell r="A955" t="str">
            <v>MARICO</v>
          </cell>
          <cell r="B955">
            <v>4595484</v>
          </cell>
        </row>
        <row r="956">
          <cell r="A956" t="str">
            <v>MARINE</v>
          </cell>
          <cell r="B956">
            <v>10000</v>
          </cell>
        </row>
        <row r="957">
          <cell r="A957" t="str">
            <v>MARKSANS</v>
          </cell>
          <cell r="B957">
            <v>1491758</v>
          </cell>
        </row>
        <row r="958">
          <cell r="A958" t="str">
            <v>MARSHALL</v>
          </cell>
          <cell r="B958">
            <v>6000</v>
          </cell>
        </row>
        <row r="959">
          <cell r="A959" t="str">
            <v>MARUTI</v>
          </cell>
          <cell r="B959">
            <v>2341400</v>
          </cell>
        </row>
        <row r="960">
          <cell r="A960" t="str">
            <v>MASFIN</v>
          </cell>
          <cell r="B960">
            <v>12792</v>
          </cell>
        </row>
        <row r="961">
          <cell r="A961" t="str">
            <v>MASTEK</v>
          </cell>
          <cell r="B961">
            <v>58294</v>
          </cell>
        </row>
        <row r="962">
          <cell r="A962" t="str">
            <v>MATRIMONY</v>
          </cell>
          <cell r="B962">
            <v>19961</v>
          </cell>
        </row>
        <row r="963">
          <cell r="A963" t="str">
            <v>MAWANASUG</v>
          </cell>
          <cell r="B963">
            <v>71323</v>
          </cell>
        </row>
        <row r="964">
          <cell r="A964" t="str">
            <v>MAXINDIA</v>
          </cell>
          <cell r="B964">
            <v>120367</v>
          </cell>
        </row>
        <row r="965">
          <cell r="A965" t="str">
            <v>MAXVIL</v>
          </cell>
          <cell r="B965">
            <v>44214</v>
          </cell>
        </row>
        <row r="966">
          <cell r="A966" t="str">
            <v>MAYURUNIQ</v>
          </cell>
          <cell r="B966">
            <v>81144</v>
          </cell>
        </row>
        <row r="967">
          <cell r="A967" t="str">
            <v>MAZDA</v>
          </cell>
          <cell r="B967">
            <v>13248</v>
          </cell>
        </row>
        <row r="968">
          <cell r="A968" t="str">
            <v>MBLINFRA</v>
          </cell>
          <cell r="B968">
            <v>69562</v>
          </cell>
        </row>
        <row r="969">
          <cell r="A969" t="str">
            <v>MCDOWELL-N</v>
          </cell>
          <cell r="B969">
            <v>3049732</v>
          </cell>
        </row>
        <row r="970">
          <cell r="A970" t="str">
            <v>MCX</v>
          </cell>
          <cell r="B970">
            <v>729312</v>
          </cell>
        </row>
        <row r="971">
          <cell r="A971" t="str">
            <v>MDL</v>
          </cell>
          <cell r="B971">
            <v>6000</v>
          </cell>
        </row>
        <row r="972">
          <cell r="A972" t="str">
            <v>MEGASOFT</v>
          </cell>
          <cell r="B972">
            <v>20672</v>
          </cell>
        </row>
        <row r="973">
          <cell r="A973" t="str">
            <v>MEGH</v>
          </cell>
          <cell r="B973">
            <v>994356</v>
          </cell>
        </row>
        <row r="974">
          <cell r="A974" t="str">
            <v>MENONBE</v>
          </cell>
          <cell r="B974">
            <v>10132</v>
          </cell>
        </row>
        <row r="975">
          <cell r="A975" t="str">
            <v>MEP</v>
          </cell>
          <cell r="B975">
            <v>879077</v>
          </cell>
        </row>
        <row r="976">
          <cell r="A976" t="str">
            <v>METROPOLIS</v>
          </cell>
          <cell r="B976">
            <v>186176</v>
          </cell>
        </row>
        <row r="977">
          <cell r="A977" t="str">
            <v>MFSL</v>
          </cell>
          <cell r="B977">
            <v>2081814</v>
          </cell>
        </row>
        <row r="978">
          <cell r="A978" t="str">
            <v>MGEL</v>
          </cell>
          <cell r="B978">
            <v>4000</v>
          </cell>
        </row>
        <row r="979">
          <cell r="A979" t="str">
            <v>MGL</v>
          </cell>
          <cell r="B979">
            <v>747780</v>
          </cell>
        </row>
        <row r="980">
          <cell r="A980" t="str">
            <v>MHRIL</v>
          </cell>
          <cell r="B980">
            <v>32506</v>
          </cell>
        </row>
        <row r="981">
          <cell r="A981" t="str">
            <v>MIDHANI</v>
          </cell>
          <cell r="B981">
            <v>1997624</v>
          </cell>
        </row>
        <row r="982">
          <cell r="A982" t="str">
            <v>MILTON</v>
          </cell>
          <cell r="B982">
            <v>4400</v>
          </cell>
        </row>
        <row r="983">
          <cell r="A983" t="str">
            <v>MINDACORP</v>
          </cell>
          <cell r="B983">
            <v>1079236</v>
          </cell>
        </row>
        <row r="984">
          <cell r="A984" t="str">
            <v>MINDAIND</v>
          </cell>
          <cell r="B984">
            <v>643838</v>
          </cell>
        </row>
        <row r="985">
          <cell r="A985" t="str">
            <v>MINDTECK</v>
          </cell>
          <cell r="B985">
            <v>13185</v>
          </cell>
        </row>
        <row r="986">
          <cell r="A986" t="str">
            <v>MINDTREE</v>
          </cell>
          <cell r="B986">
            <v>1642403</v>
          </cell>
        </row>
        <row r="987">
          <cell r="A987" t="str">
            <v>MIRCELECTR</v>
          </cell>
          <cell r="B987">
            <v>239322</v>
          </cell>
        </row>
        <row r="988">
          <cell r="A988" t="str">
            <v>MIRZAINT</v>
          </cell>
          <cell r="B988">
            <v>126546</v>
          </cell>
        </row>
        <row r="989">
          <cell r="A989" t="str">
            <v>MITTAL</v>
          </cell>
          <cell r="B989">
            <v>33856</v>
          </cell>
        </row>
        <row r="990">
          <cell r="A990" t="str">
            <v>M&amp;M</v>
          </cell>
          <cell r="B990">
            <v>7422880</v>
          </cell>
        </row>
        <row r="991">
          <cell r="A991" t="str">
            <v>M&amp;MFIN</v>
          </cell>
          <cell r="B991">
            <v>12639407</v>
          </cell>
        </row>
        <row r="992">
          <cell r="A992" t="str">
            <v>MMFL</v>
          </cell>
          <cell r="B992">
            <v>17168</v>
          </cell>
        </row>
        <row r="993">
          <cell r="A993" t="str">
            <v>MMP</v>
          </cell>
          <cell r="B993">
            <v>4154</v>
          </cell>
        </row>
        <row r="994">
          <cell r="A994" t="str">
            <v>MMTC</v>
          </cell>
          <cell r="B994">
            <v>794289</v>
          </cell>
        </row>
        <row r="995">
          <cell r="A995" t="str">
            <v>MOHITIND</v>
          </cell>
          <cell r="B995">
            <v>300</v>
          </cell>
        </row>
        <row r="996">
          <cell r="A996" t="str">
            <v>MOHOTAIND</v>
          </cell>
          <cell r="B996">
            <v>21360</v>
          </cell>
        </row>
        <row r="997">
          <cell r="A997" t="str">
            <v>MOIL</v>
          </cell>
          <cell r="B997">
            <v>722682</v>
          </cell>
        </row>
        <row r="998">
          <cell r="A998" t="str">
            <v>MOLDTECH</v>
          </cell>
          <cell r="B998">
            <v>19394</v>
          </cell>
        </row>
        <row r="999">
          <cell r="A999" t="str">
            <v>MOLDTKPAC</v>
          </cell>
          <cell r="B999">
            <v>100676</v>
          </cell>
        </row>
        <row r="1000">
          <cell r="A1000" t="str">
            <v>MONTECARLO</v>
          </cell>
          <cell r="B1000">
            <v>10156</v>
          </cell>
        </row>
        <row r="1001">
          <cell r="A1001" t="str">
            <v>MORARJEE</v>
          </cell>
          <cell r="B1001">
            <v>1220</v>
          </cell>
        </row>
        <row r="1002">
          <cell r="A1002" t="str">
            <v>MOREPENLAB</v>
          </cell>
          <cell r="B1002">
            <v>3149319</v>
          </cell>
        </row>
        <row r="1003">
          <cell r="A1003" t="str">
            <v>MOTHERSUMI</v>
          </cell>
          <cell r="B1003">
            <v>54841389</v>
          </cell>
        </row>
        <row r="1004">
          <cell r="A1004" t="str">
            <v>MOTILALOFS</v>
          </cell>
          <cell r="B1004">
            <v>448772</v>
          </cell>
        </row>
        <row r="1005">
          <cell r="A1005" t="str">
            <v>MOTOGENFIN</v>
          </cell>
          <cell r="B1005">
            <v>9649</v>
          </cell>
        </row>
        <row r="1006">
          <cell r="A1006" t="str">
            <v>MPHASIS</v>
          </cell>
          <cell r="B1006">
            <v>307080</v>
          </cell>
        </row>
        <row r="1007">
          <cell r="A1007" t="str">
            <v>MPSLTD</v>
          </cell>
          <cell r="B1007">
            <v>16911</v>
          </cell>
        </row>
        <row r="1008">
          <cell r="A1008" t="str">
            <v>MRF</v>
          </cell>
          <cell r="B1008">
            <v>18800</v>
          </cell>
        </row>
        <row r="1009">
          <cell r="A1009" t="str">
            <v>MRPL</v>
          </cell>
          <cell r="B1009">
            <v>582394</v>
          </cell>
        </row>
        <row r="1010">
          <cell r="A1010" t="str">
            <v>MSTCLTD</v>
          </cell>
          <cell r="B1010">
            <v>74895</v>
          </cell>
        </row>
        <row r="1011">
          <cell r="A1011" t="str">
            <v>MTEDUCARE</v>
          </cell>
          <cell r="B1011">
            <v>98151</v>
          </cell>
        </row>
        <row r="1012">
          <cell r="A1012" t="str">
            <v>MTNL</v>
          </cell>
          <cell r="B1012">
            <v>462280</v>
          </cell>
        </row>
        <row r="1013">
          <cell r="A1013" t="str">
            <v>MUKANDLTD</v>
          </cell>
          <cell r="B1013">
            <v>27319</v>
          </cell>
        </row>
        <row r="1014">
          <cell r="A1014" t="str">
            <v>MUKANDLTD</v>
          </cell>
          <cell r="B1014">
            <v>600</v>
          </cell>
        </row>
        <row r="1015">
          <cell r="A1015" t="str">
            <v>MUKTAARTS</v>
          </cell>
          <cell r="B1015">
            <v>9545</v>
          </cell>
        </row>
        <row r="1016">
          <cell r="A1016" t="str">
            <v>MUNJALAU</v>
          </cell>
          <cell r="B1016">
            <v>185516</v>
          </cell>
        </row>
        <row r="1017">
          <cell r="A1017" t="str">
            <v>MUNJALSHOW</v>
          </cell>
          <cell r="B1017">
            <v>37163</v>
          </cell>
        </row>
        <row r="1018">
          <cell r="A1018" t="str">
            <v>MURUDCERA</v>
          </cell>
          <cell r="B1018">
            <v>105921</v>
          </cell>
        </row>
        <row r="1019">
          <cell r="A1019" t="str">
            <v>MUTHOOTCAP</v>
          </cell>
          <cell r="B1019">
            <v>31525</v>
          </cell>
        </row>
        <row r="1020">
          <cell r="A1020" t="str">
            <v>MUTHOOTFIN</v>
          </cell>
          <cell r="B1020">
            <v>3162393</v>
          </cell>
        </row>
        <row r="1021">
          <cell r="A1021" t="str">
            <v>N100</v>
          </cell>
          <cell r="B1021">
            <v>54203</v>
          </cell>
        </row>
        <row r="1022">
          <cell r="A1022" t="str">
            <v>NABARD</v>
          </cell>
          <cell r="B1022">
            <v>817</v>
          </cell>
        </row>
        <row r="1023">
          <cell r="A1023" t="str">
            <v>NACLIND</v>
          </cell>
          <cell r="B1023">
            <v>29811</v>
          </cell>
        </row>
        <row r="1024">
          <cell r="A1024" t="str">
            <v>NAGREEKCAP</v>
          </cell>
          <cell r="B1024">
            <v>30</v>
          </cell>
        </row>
        <row r="1025">
          <cell r="A1025" t="str">
            <v>NAGREEKEXP</v>
          </cell>
          <cell r="B1025">
            <v>6599</v>
          </cell>
        </row>
        <row r="1026">
          <cell r="A1026" t="str">
            <v>NAHARCAP</v>
          </cell>
          <cell r="B1026">
            <v>4885</v>
          </cell>
        </row>
        <row r="1027">
          <cell r="A1027" t="str">
            <v>NAHARINDUS</v>
          </cell>
          <cell r="B1027">
            <v>28386</v>
          </cell>
        </row>
        <row r="1028">
          <cell r="A1028" t="str">
            <v>NAHARPOLY</v>
          </cell>
          <cell r="B1028">
            <v>19163</v>
          </cell>
        </row>
        <row r="1029">
          <cell r="A1029" t="str">
            <v>NAHARSPING</v>
          </cell>
          <cell r="B1029">
            <v>173385</v>
          </cell>
        </row>
        <row r="1030">
          <cell r="A1030" t="str">
            <v>NAM-INDIA</v>
          </cell>
          <cell r="B1030">
            <v>3016837</v>
          </cell>
        </row>
        <row r="1031">
          <cell r="A1031" t="str">
            <v>NARMADA</v>
          </cell>
          <cell r="B1031">
            <v>7200</v>
          </cell>
        </row>
        <row r="1032">
          <cell r="A1032" t="str">
            <v>NATCOPHARM</v>
          </cell>
          <cell r="B1032">
            <v>353942</v>
          </cell>
        </row>
        <row r="1033">
          <cell r="A1033" t="str">
            <v>NATHBIOGEN</v>
          </cell>
          <cell r="B1033">
            <v>15252</v>
          </cell>
        </row>
        <row r="1034">
          <cell r="A1034" t="str">
            <v>NATIONALUM</v>
          </cell>
          <cell r="B1034">
            <v>14646461</v>
          </cell>
        </row>
        <row r="1035">
          <cell r="A1035" t="str">
            <v>NATNLSTEEL</v>
          </cell>
          <cell r="B1035">
            <v>2382</v>
          </cell>
        </row>
        <row r="1036">
          <cell r="A1036" t="str">
            <v>NAUKRI</v>
          </cell>
          <cell r="B1036">
            <v>334287</v>
          </cell>
        </row>
        <row r="1037">
          <cell r="A1037" t="str">
            <v>NAVINFLUOR</v>
          </cell>
          <cell r="B1037">
            <v>158980</v>
          </cell>
        </row>
        <row r="1038">
          <cell r="A1038" t="str">
            <v>NAVKARCORP</v>
          </cell>
          <cell r="B1038">
            <v>2190990</v>
          </cell>
        </row>
        <row r="1039">
          <cell r="A1039" t="str">
            <v>NAVNETEDUL</v>
          </cell>
          <cell r="B1039">
            <v>56198</v>
          </cell>
        </row>
        <row r="1040">
          <cell r="A1040" t="str">
            <v>NBCC</v>
          </cell>
          <cell r="B1040">
            <v>7241026</v>
          </cell>
        </row>
        <row r="1041">
          <cell r="A1041" t="str">
            <v>NBIFIN</v>
          </cell>
          <cell r="B1041">
            <v>51</v>
          </cell>
        </row>
        <row r="1042">
          <cell r="A1042" t="str">
            <v>NBVENTURES</v>
          </cell>
          <cell r="B1042">
            <v>138193</v>
          </cell>
        </row>
        <row r="1043">
          <cell r="A1043" t="str">
            <v>NCC</v>
          </cell>
          <cell r="B1043">
            <v>30185603</v>
          </cell>
        </row>
        <row r="1044">
          <cell r="A1044" t="str">
            <v>NCLIND</v>
          </cell>
          <cell r="B1044">
            <v>183445</v>
          </cell>
        </row>
        <row r="1045">
          <cell r="A1045" t="str">
            <v>NDGL</v>
          </cell>
          <cell r="B1045">
            <v>313</v>
          </cell>
        </row>
        <row r="1046">
          <cell r="A1046" t="str">
            <v>NDL</v>
          </cell>
          <cell r="B1046">
            <v>167930</v>
          </cell>
        </row>
        <row r="1047">
          <cell r="A1047" t="str">
            <v>NDTV</v>
          </cell>
          <cell r="B1047">
            <v>22554</v>
          </cell>
        </row>
        <row r="1048">
          <cell r="A1048" t="str">
            <v>NECCLTD</v>
          </cell>
          <cell r="B1048">
            <v>60525</v>
          </cell>
        </row>
        <row r="1049">
          <cell r="A1049" t="str">
            <v>NECLIFE</v>
          </cell>
          <cell r="B1049">
            <v>305426</v>
          </cell>
        </row>
        <row r="1050">
          <cell r="A1050" t="str">
            <v>NELCAST</v>
          </cell>
          <cell r="B1050">
            <v>76317</v>
          </cell>
        </row>
        <row r="1051">
          <cell r="A1051" t="str">
            <v>NESCO</v>
          </cell>
          <cell r="B1051">
            <v>101355</v>
          </cell>
        </row>
        <row r="1052">
          <cell r="A1052" t="str">
            <v>NESTLEIND</v>
          </cell>
          <cell r="B1052">
            <v>158370</v>
          </cell>
        </row>
        <row r="1053">
          <cell r="A1053" t="str">
            <v>NETF</v>
          </cell>
          <cell r="B1053">
            <v>1510</v>
          </cell>
        </row>
        <row r="1054">
          <cell r="A1054" t="str">
            <v>NETFCONSUM</v>
          </cell>
          <cell r="B1054">
            <v>2051</v>
          </cell>
        </row>
        <row r="1055">
          <cell r="A1055" t="str">
            <v>NETFDIVOPP</v>
          </cell>
          <cell r="B1055">
            <v>258</v>
          </cell>
        </row>
        <row r="1056">
          <cell r="A1056" t="str">
            <v>NETFLTGILT</v>
          </cell>
          <cell r="B1056">
            <v>28329</v>
          </cell>
        </row>
        <row r="1057">
          <cell r="A1057" t="str">
            <v>NETFMID150</v>
          </cell>
          <cell r="B1057">
            <v>241310</v>
          </cell>
        </row>
        <row r="1058">
          <cell r="A1058" t="str">
            <v>NETFNIF100</v>
          </cell>
          <cell r="B1058">
            <v>2913</v>
          </cell>
        </row>
        <row r="1059">
          <cell r="A1059" t="str">
            <v>NETFNV20</v>
          </cell>
          <cell r="B1059">
            <v>12541</v>
          </cell>
        </row>
        <row r="1060">
          <cell r="A1060" t="str">
            <v>NETWORK18</v>
          </cell>
          <cell r="B1060">
            <v>660397</v>
          </cell>
        </row>
        <row r="1061">
          <cell r="A1061" t="str">
            <v>NEULANDLAB</v>
          </cell>
          <cell r="B1061">
            <v>39610</v>
          </cell>
        </row>
        <row r="1062">
          <cell r="A1062" t="str">
            <v>NEWGEN</v>
          </cell>
          <cell r="B1062">
            <v>97069</v>
          </cell>
        </row>
        <row r="1063">
          <cell r="A1063" t="str">
            <v>NEXTMEDIA</v>
          </cell>
          <cell r="B1063">
            <v>7426</v>
          </cell>
        </row>
        <row r="1064">
          <cell r="A1064" t="str">
            <v>NFL</v>
          </cell>
          <cell r="B1064">
            <v>745891</v>
          </cell>
        </row>
        <row r="1065">
          <cell r="A1065" t="str">
            <v>NH</v>
          </cell>
          <cell r="B1065">
            <v>208489</v>
          </cell>
        </row>
        <row r="1066">
          <cell r="A1066" t="str">
            <v>NHAI</v>
          </cell>
          <cell r="B1066">
            <v>4473</v>
          </cell>
        </row>
        <row r="1067">
          <cell r="A1067" t="str">
            <v>NHAI</v>
          </cell>
          <cell r="B1067">
            <v>9880</v>
          </cell>
        </row>
        <row r="1068">
          <cell r="A1068" t="str">
            <v>NHAI</v>
          </cell>
          <cell r="B1068">
            <v>100</v>
          </cell>
        </row>
        <row r="1069">
          <cell r="A1069" t="str">
            <v>NHAI</v>
          </cell>
          <cell r="B1069">
            <v>193</v>
          </cell>
        </row>
        <row r="1070">
          <cell r="A1070" t="str">
            <v>NHAI</v>
          </cell>
          <cell r="B1070">
            <v>200</v>
          </cell>
        </row>
        <row r="1071">
          <cell r="A1071" t="str">
            <v>NHAI</v>
          </cell>
          <cell r="B1071">
            <v>22</v>
          </cell>
        </row>
        <row r="1072">
          <cell r="A1072" t="str">
            <v>NHAI</v>
          </cell>
          <cell r="B1072">
            <v>189</v>
          </cell>
        </row>
        <row r="1073">
          <cell r="A1073" t="str">
            <v>NHAI</v>
          </cell>
          <cell r="B1073">
            <v>779</v>
          </cell>
        </row>
        <row r="1074">
          <cell r="A1074" t="str">
            <v>NHBTF2014</v>
          </cell>
          <cell r="B1074">
            <v>255</v>
          </cell>
        </row>
        <row r="1075">
          <cell r="A1075" t="str">
            <v>NHPC</v>
          </cell>
          <cell r="B1075">
            <v>4724206</v>
          </cell>
        </row>
        <row r="1076">
          <cell r="A1076" t="str">
            <v>NHPC</v>
          </cell>
          <cell r="B1076">
            <v>3</v>
          </cell>
        </row>
        <row r="1077">
          <cell r="A1077" t="str">
            <v>NHPC</v>
          </cell>
          <cell r="B1077">
            <v>100</v>
          </cell>
        </row>
        <row r="1078">
          <cell r="A1078" t="str">
            <v>NIACL</v>
          </cell>
          <cell r="B1078">
            <v>202766</v>
          </cell>
        </row>
        <row r="1079">
          <cell r="A1079" t="str">
            <v>NIFTYBEES</v>
          </cell>
          <cell r="B1079">
            <v>3783690</v>
          </cell>
        </row>
        <row r="1080">
          <cell r="A1080" t="str">
            <v>NIITLTD</v>
          </cell>
          <cell r="B1080">
            <v>1337030</v>
          </cell>
        </row>
        <row r="1081">
          <cell r="A1081" t="str">
            <v>NIITTECH</v>
          </cell>
          <cell r="B1081">
            <v>657726</v>
          </cell>
        </row>
        <row r="1082">
          <cell r="A1082" t="str">
            <v>NILAINFRA</v>
          </cell>
          <cell r="B1082">
            <v>201220</v>
          </cell>
        </row>
        <row r="1083">
          <cell r="A1083" t="str">
            <v>NILASPACES</v>
          </cell>
          <cell r="B1083">
            <v>186719</v>
          </cell>
        </row>
        <row r="1084">
          <cell r="A1084" t="str">
            <v>NILKAMAL</v>
          </cell>
          <cell r="B1084">
            <v>16089</v>
          </cell>
        </row>
        <row r="1085">
          <cell r="A1085" t="str">
            <v>NIPPOBATRY</v>
          </cell>
          <cell r="B1085">
            <v>5460</v>
          </cell>
        </row>
        <row r="1086">
          <cell r="A1086" t="str">
            <v>NITCO</v>
          </cell>
          <cell r="B1086">
            <v>72074</v>
          </cell>
        </row>
        <row r="1087">
          <cell r="A1087" t="str">
            <v>NITINSPIN</v>
          </cell>
          <cell r="B1087">
            <v>81904</v>
          </cell>
        </row>
        <row r="1088">
          <cell r="A1088" t="str">
            <v>NKIND</v>
          </cell>
          <cell r="B1088">
            <v>12527</v>
          </cell>
        </row>
        <row r="1089">
          <cell r="A1089" t="str">
            <v>NLCINDIA</v>
          </cell>
          <cell r="B1089">
            <v>481318</v>
          </cell>
        </row>
        <row r="1090">
          <cell r="A1090" t="str">
            <v>NMDC</v>
          </cell>
          <cell r="B1090">
            <v>6511716</v>
          </cell>
        </row>
        <row r="1091">
          <cell r="A1091" t="str">
            <v>NOCIL</v>
          </cell>
          <cell r="B1091">
            <v>2177899</v>
          </cell>
        </row>
        <row r="1092">
          <cell r="A1092" t="str">
            <v>NOIDATOLL</v>
          </cell>
          <cell r="B1092">
            <v>20609</v>
          </cell>
        </row>
        <row r="1093">
          <cell r="A1093" t="str">
            <v>NORBTEAEXP</v>
          </cell>
          <cell r="B1093">
            <v>860</v>
          </cell>
        </row>
        <row r="1094">
          <cell r="A1094" t="str">
            <v>NPBET</v>
          </cell>
          <cell r="B1094">
            <v>892</v>
          </cell>
        </row>
        <row r="1095">
          <cell r="A1095" t="str">
            <v>NRAIL</v>
          </cell>
          <cell r="B1095">
            <v>10039</v>
          </cell>
        </row>
        <row r="1096">
          <cell r="A1096" t="str">
            <v>NRBBEARING</v>
          </cell>
          <cell r="B1096">
            <v>128073</v>
          </cell>
        </row>
        <row r="1097">
          <cell r="A1097" t="str">
            <v>NSIL</v>
          </cell>
          <cell r="B1097">
            <v>176</v>
          </cell>
        </row>
        <row r="1098">
          <cell r="A1098" t="str">
            <v>NTL</v>
          </cell>
          <cell r="B1098">
            <v>102</v>
          </cell>
        </row>
        <row r="1099">
          <cell r="A1099" t="str">
            <v>NTPC</v>
          </cell>
          <cell r="B1099">
            <v>15151440</v>
          </cell>
        </row>
        <row r="1100">
          <cell r="A1100" t="str">
            <v>NTPC</v>
          </cell>
          <cell r="B1100">
            <v>23</v>
          </cell>
        </row>
        <row r="1101">
          <cell r="A1101" t="str">
            <v>NTPC</v>
          </cell>
          <cell r="B1101">
            <v>83118</v>
          </cell>
        </row>
        <row r="1102">
          <cell r="A1102" t="str">
            <v>NTPC</v>
          </cell>
          <cell r="B1102">
            <v>2</v>
          </cell>
        </row>
        <row r="1103">
          <cell r="A1103" t="str">
            <v>NTPC</v>
          </cell>
          <cell r="B1103">
            <v>6</v>
          </cell>
        </row>
        <row r="1104">
          <cell r="A1104" t="str">
            <v>NUCLEUS</v>
          </cell>
          <cell r="B1104">
            <v>75634</v>
          </cell>
        </row>
        <row r="1105">
          <cell r="A1105" t="str">
            <v>NXTDIGITAL</v>
          </cell>
          <cell r="B1105">
            <v>739</v>
          </cell>
        </row>
        <row r="1106">
          <cell r="A1106" t="str">
            <v>OAL</v>
          </cell>
          <cell r="B1106">
            <v>1610</v>
          </cell>
        </row>
        <row r="1107">
          <cell r="A1107" t="str">
            <v>OBEROIRLTY</v>
          </cell>
          <cell r="B1107">
            <v>1020991</v>
          </cell>
        </row>
        <row r="1108">
          <cell r="A1108" t="str">
            <v>OCCL</v>
          </cell>
          <cell r="B1108">
            <v>11472</v>
          </cell>
        </row>
        <row r="1109">
          <cell r="A1109" t="str">
            <v>OFSS</v>
          </cell>
          <cell r="B1109">
            <v>41818</v>
          </cell>
        </row>
        <row r="1110">
          <cell r="A1110" t="str">
            <v>OIL</v>
          </cell>
          <cell r="B1110">
            <v>3874232</v>
          </cell>
        </row>
        <row r="1111">
          <cell r="A1111" t="str">
            <v>OLECTRA</v>
          </cell>
          <cell r="B1111">
            <v>39653</v>
          </cell>
        </row>
        <row r="1112">
          <cell r="A1112" t="str">
            <v>OMAXAUTO</v>
          </cell>
          <cell r="B1112">
            <v>15889</v>
          </cell>
        </row>
        <row r="1113">
          <cell r="A1113" t="str">
            <v>OMAXE</v>
          </cell>
          <cell r="B1113">
            <v>144646</v>
          </cell>
        </row>
        <row r="1114">
          <cell r="A1114" t="str">
            <v>OMKARCHEM</v>
          </cell>
          <cell r="B1114">
            <v>5400</v>
          </cell>
        </row>
        <row r="1115">
          <cell r="A1115" t="str">
            <v>OMMETALS</v>
          </cell>
          <cell r="B1115">
            <v>87716</v>
          </cell>
        </row>
        <row r="1116">
          <cell r="A1116" t="str">
            <v>ONELIFECAP</v>
          </cell>
          <cell r="B1116">
            <v>1240</v>
          </cell>
        </row>
        <row r="1117">
          <cell r="A1117" t="str">
            <v>ONEPOINT</v>
          </cell>
          <cell r="B1117">
            <v>8218</v>
          </cell>
        </row>
        <row r="1118">
          <cell r="A1118" t="str">
            <v>ONGC</v>
          </cell>
          <cell r="B1118">
            <v>54295139</v>
          </cell>
        </row>
        <row r="1119">
          <cell r="A1119" t="str">
            <v>ONMOBILE</v>
          </cell>
          <cell r="B1119">
            <v>59998</v>
          </cell>
        </row>
        <row r="1120">
          <cell r="A1120" t="str">
            <v>ONWARDTEC</v>
          </cell>
          <cell r="B1120">
            <v>9708</v>
          </cell>
        </row>
        <row r="1121">
          <cell r="A1121" t="str">
            <v>OPTIEMUS</v>
          </cell>
          <cell r="B1121">
            <v>25720</v>
          </cell>
        </row>
        <row r="1122">
          <cell r="A1122" t="str">
            <v>OPTOCIRCUI</v>
          </cell>
          <cell r="B1122">
            <v>28210</v>
          </cell>
        </row>
        <row r="1123">
          <cell r="A1123" t="str">
            <v>ORBTEXP</v>
          </cell>
          <cell r="B1123">
            <v>10699</v>
          </cell>
        </row>
        <row r="1124">
          <cell r="A1124" t="str">
            <v>ORICONENT</v>
          </cell>
          <cell r="B1124">
            <v>22779</v>
          </cell>
        </row>
        <row r="1125">
          <cell r="A1125" t="str">
            <v>ORIENTABRA</v>
          </cell>
          <cell r="B1125">
            <v>16037</v>
          </cell>
        </row>
        <row r="1126">
          <cell r="A1126" t="str">
            <v>ORIENTALTL</v>
          </cell>
          <cell r="B1126">
            <v>5965</v>
          </cell>
        </row>
        <row r="1127">
          <cell r="A1127" t="str">
            <v>ORIENTBELL</v>
          </cell>
          <cell r="B1127">
            <v>31568</v>
          </cell>
        </row>
        <row r="1128">
          <cell r="A1128" t="str">
            <v>ORIENTCEM</v>
          </cell>
          <cell r="B1128">
            <v>451034</v>
          </cell>
        </row>
        <row r="1129">
          <cell r="A1129" t="str">
            <v>ORIENTELEC</v>
          </cell>
          <cell r="B1129">
            <v>264151</v>
          </cell>
        </row>
        <row r="1130">
          <cell r="A1130" t="str">
            <v>ORIENTHOT</v>
          </cell>
          <cell r="B1130">
            <v>16463</v>
          </cell>
        </row>
        <row r="1131">
          <cell r="A1131" t="str">
            <v>ORIENTLTD</v>
          </cell>
          <cell r="B1131">
            <v>279</v>
          </cell>
        </row>
        <row r="1132">
          <cell r="A1132" t="str">
            <v>ORIENTPPR</v>
          </cell>
          <cell r="B1132">
            <v>456345</v>
          </cell>
        </row>
        <row r="1133">
          <cell r="A1133" t="str">
            <v>ORIENTREF</v>
          </cell>
          <cell r="B1133">
            <v>28241</v>
          </cell>
        </row>
        <row r="1134">
          <cell r="A1134" t="str">
            <v>ORISSAMINE</v>
          </cell>
          <cell r="B1134">
            <v>12822</v>
          </cell>
        </row>
        <row r="1135">
          <cell r="A1135" t="str">
            <v>OSWALAGRO</v>
          </cell>
          <cell r="B1135">
            <v>141120</v>
          </cell>
        </row>
        <row r="1136">
          <cell r="A1136" t="str">
            <v>PAEL</v>
          </cell>
          <cell r="B1136">
            <v>262</v>
          </cell>
        </row>
        <row r="1137">
          <cell r="A1137" t="str">
            <v>PAGEIND</v>
          </cell>
          <cell r="B1137">
            <v>49883</v>
          </cell>
        </row>
        <row r="1138">
          <cell r="A1138" t="str">
            <v>PAISALO</v>
          </cell>
          <cell r="B1138">
            <v>56751</v>
          </cell>
        </row>
        <row r="1139">
          <cell r="A1139" t="str">
            <v>PALASHSECU</v>
          </cell>
          <cell r="B1139">
            <v>3790</v>
          </cell>
        </row>
        <row r="1140">
          <cell r="A1140" t="str">
            <v>PALREDTEC</v>
          </cell>
          <cell r="B1140">
            <v>2157</v>
          </cell>
        </row>
        <row r="1141">
          <cell r="A1141" t="str">
            <v>PANACEABIO</v>
          </cell>
          <cell r="B1141">
            <v>420256</v>
          </cell>
        </row>
        <row r="1142">
          <cell r="A1142" t="str">
            <v>PANACHE</v>
          </cell>
          <cell r="B1142">
            <v>2361</v>
          </cell>
        </row>
        <row r="1143">
          <cell r="A1143" t="str">
            <v>PANAMAPET</v>
          </cell>
          <cell r="B1143">
            <v>16008</v>
          </cell>
        </row>
        <row r="1144">
          <cell r="A1144" t="str">
            <v>PAPERPROD</v>
          </cell>
          <cell r="B1144">
            <v>113643</v>
          </cell>
        </row>
        <row r="1145">
          <cell r="A1145" t="str">
            <v>PARACABLES</v>
          </cell>
          <cell r="B1145">
            <v>145839</v>
          </cell>
        </row>
        <row r="1146">
          <cell r="A1146" t="str">
            <v>PARAGMILK</v>
          </cell>
          <cell r="B1146">
            <v>299890</v>
          </cell>
        </row>
        <row r="1147">
          <cell r="A1147" t="str">
            <v>PARSVNATH</v>
          </cell>
          <cell r="B1147">
            <v>48743</v>
          </cell>
        </row>
        <row r="1148">
          <cell r="A1148" t="str">
            <v>PATELENG</v>
          </cell>
          <cell r="B1148">
            <v>210163</v>
          </cell>
        </row>
        <row r="1149">
          <cell r="A1149" t="str">
            <v>PATINTLOG</v>
          </cell>
          <cell r="B1149">
            <v>13121</v>
          </cell>
        </row>
        <row r="1150">
          <cell r="A1150" t="str">
            <v>PDMJEPAPER</v>
          </cell>
          <cell r="B1150">
            <v>32703</v>
          </cell>
        </row>
        <row r="1151">
          <cell r="A1151" t="str">
            <v>PDSMFL</v>
          </cell>
          <cell r="B1151">
            <v>2165</v>
          </cell>
        </row>
        <row r="1152">
          <cell r="A1152" t="str">
            <v>PEARLPOLY</v>
          </cell>
          <cell r="B1152">
            <v>754</v>
          </cell>
        </row>
        <row r="1153">
          <cell r="A1153" t="str">
            <v>PEL</v>
          </cell>
          <cell r="B1153">
            <v>1938021</v>
          </cell>
        </row>
        <row r="1154">
          <cell r="A1154" t="str">
            <v>PENIND</v>
          </cell>
          <cell r="B1154">
            <v>186850</v>
          </cell>
        </row>
        <row r="1155">
          <cell r="A1155" t="str">
            <v>PERSISTENT</v>
          </cell>
          <cell r="B1155">
            <v>322637</v>
          </cell>
        </row>
        <row r="1156">
          <cell r="A1156" t="str">
            <v>PETRONET</v>
          </cell>
          <cell r="B1156">
            <v>3475780</v>
          </cell>
        </row>
        <row r="1157">
          <cell r="A1157" t="str">
            <v>PFC</v>
          </cell>
          <cell r="B1157">
            <v>7003472</v>
          </cell>
        </row>
        <row r="1158">
          <cell r="A1158" t="str">
            <v>PFC</v>
          </cell>
          <cell r="B1158">
            <v>130</v>
          </cell>
        </row>
        <row r="1159">
          <cell r="A1159" t="str">
            <v>PFC</v>
          </cell>
          <cell r="B1159">
            <v>188</v>
          </cell>
        </row>
        <row r="1160">
          <cell r="A1160" t="str">
            <v>PFIZER</v>
          </cell>
          <cell r="B1160">
            <v>106059</v>
          </cell>
        </row>
        <row r="1161">
          <cell r="A1161" t="str">
            <v>PFOCUS</v>
          </cell>
          <cell r="B1161">
            <v>28223</v>
          </cell>
        </row>
        <row r="1162">
          <cell r="A1162" t="str">
            <v>PFS</v>
          </cell>
          <cell r="B1162">
            <v>527292</v>
          </cell>
        </row>
        <row r="1163">
          <cell r="A1163" t="str">
            <v>PGEL</v>
          </cell>
          <cell r="B1163">
            <v>18580</v>
          </cell>
        </row>
        <row r="1164">
          <cell r="A1164" t="str">
            <v>PGHH</v>
          </cell>
          <cell r="B1164">
            <v>16813</v>
          </cell>
        </row>
        <row r="1165">
          <cell r="A1165" t="str">
            <v>PGHL</v>
          </cell>
          <cell r="B1165">
            <v>14598</v>
          </cell>
        </row>
        <row r="1166">
          <cell r="A1166" t="str">
            <v>PGIL</v>
          </cell>
          <cell r="B1166">
            <v>5610</v>
          </cell>
        </row>
        <row r="1167">
          <cell r="A1167" t="str">
            <v>PHILIPCARB</v>
          </cell>
          <cell r="B1167">
            <v>402307</v>
          </cell>
        </row>
        <row r="1168">
          <cell r="A1168" t="str">
            <v>PHOENIXLTD</v>
          </cell>
          <cell r="B1168">
            <v>115092</v>
          </cell>
        </row>
        <row r="1169">
          <cell r="A1169" t="str">
            <v>PIDILITIND</v>
          </cell>
          <cell r="B1169">
            <v>814819</v>
          </cell>
        </row>
        <row r="1170">
          <cell r="A1170" t="str">
            <v>PIIND</v>
          </cell>
          <cell r="B1170">
            <v>414142</v>
          </cell>
        </row>
        <row r="1171">
          <cell r="A1171" t="str">
            <v>PILANIINVS</v>
          </cell>
          <cell r="B1171">
            <v>601</v>
          </cell>
        </row>
        <row r="1172">
          <cell r="A1172" t="str">
            <v>PILITA</v>
          </cell>
          <cell r="B1172">
            <v>7405</v>
          </cell>
        </row>
        <row r="1173">
          <cell r="A1173" t="str">
            <v>PIONEEREMB</v>
          </cell>
          <cell r="B1173">
            <v>10326</v>
          </cell>
        </row>
        <row r="1174">
          <cell r="A1174" t="str">
            <v>PITTIENG</v>
          </cell>
          <cell r="B1174">
            <v>17020</v>
          </cell>
        </row>
        <row r="1175">
          <cell r="A1175" t="str">
            <v>PLASTIBLEN</v>
          </cell>
          <cell r="B1175">
            <v>57683</v>
          </cell>
        </row>
        <row r="1176">
          <cell r="A1176" t="str">
            <v>PNB</v>
          </cell>
          <cell r="B1176">
            <v>31467001</v>
          </cell>
        </row>
        <row r="1177">
          <cell r="A1177" t="str">
            <v>PNBGILTS</v>
          </cell>
          <cell r="B1177">
            <v>194944</v>
          </cell>
        </row>
        <row r="1178">
          <cell r="A1178" t="str">
            <v>PNBHOUSING</v>
          </cell>
          <cell r="B1178">
            <v>703295</v>
          </cell>
        </row>
        <row r="1179">
          <cell r="A1179" t="str">
            <v>PNC</v>
          </cell>
          <cell r="B1179">
            <v>19484</v>
          </cell>
        </row>
        <row r="1180">
          <cell r="A1180" t="str">
            <v>PNCINFRA</v>
          </cell>
          <cell r="B1180">
            <v>258955</v>
          </cell>
        </row>
        <row r="1181">
          <cell r="A1181" t="str">
            <v>PODDARHOUS</v>
          </cell>
          <cell r="B1181">
            <v>3446</v>
          </cell>
        </row>
        <row r="1182">
          <cell r="A1182" t="str">
            <v>PODDARMENT</v>
          </cell>
          <cell r="B1182">
            <v>1720</v>
          </cell>
        </row>
        <row r="1183">
          <cell r="A1183" t="str">
            <v>POKARNA</v>
          </cell>
          <cell r="B1183">
            <v>53851</v>
          </cell>
        </row>
        <row r="1184">
          <cell r="A1184" t="str">
            <v>POLYCAB</v>
          </cell>
          <cell r="B1184">
            <v>418977</v>
          </cell>
        </row>
        <row r="1185">
          <cell r="A1185" t="str">
            <v>POLYMED</v>
          </cell>
          <cell r="B1185">
            <v>40917</v>
          </cell>
        </row>
        <row r="1186">
          <cell r="A1186" t="str">
            <v>POLYPLEX</v>
          </cell>
          <cell r="B1186">
            <v>66641</v>
          </cell>
        </row>
        <row r="1187">
          <cell r="A1187" t="str">
            <v>PONNIERODE</v>
          </cell>
          <cell r="B1187">
            <v>1377</v>
          </cell>
        </row>
        <row r="1188">
          <cell r="A1188" t="str">
            <v>POWERFUL</v>
          </cell>
          <cell r="B1188">
            <v>42000</v>
          </cell>
        </row>
        <row r="1189">
          <cell r="A1189" t="str">
            <v>POWERGRID</v>
          </cell>
          <cell r="B1189">
            <v>10520617</v>
          </cell>
        </row>
        <row r="1190">
          <cell r="A1190" t="str">
            <v>POWERINDIA</v>
          </cell>
          <cell r="B1190">
            <v>36263</v>
          </cell>
        </row>
        <row r="1191">
          <cell r="A1191" t="str">
            <v>POWERMECH</v>
          </cell>
          <cell r="B1191">
            <v>16064</v>
          </cell>
        </row>
        <row r="1192">
          <cell r="A1192" t="str">
            <v>PPAP</v>
          </cell>
          <cell r="B1192">
            <v>11554</v>
          </cell>
        </row>
        <row r="1193">
          <cell r="A1193" t="str">
            <v>PPL</v>
          </cell>
          <cell r="B1193">
            <v>119172</v>
          </cell>
        </row>
        <row r="1194">
          <cell r="A1194" t="str">
            <v>PRABHAT</v>
          </cell>
          <cell r="B1194">
            <v>7997</v>
          </cell>
        </row>
        <row r="1195">
          <cell r="A1195" t="str">
            <v>PRADIP</v>
          </cell>
          <cell r="B1195">
            <v>1010</v>
          </cell>
        </row>
        <row r="1196">
          <cell r="A1196" t="str">
            <v>PRAENG</v>
          </cell>
          <cell r="B1196">
            <v>3870</v>
          </cell>
        </row>
        <row r="1197">
          <cell r="A1197" t="str">
            <v>PRAJIND</v>
          </cell>
          <cell r="B1197">
            <v>1759140</v>
          </cell>
        </row>
        <row r="1198">
          <cell r="A1198" t="str">
            <v>PRAKASH</v>
          </cell>
          <cell r="B1198">
            <v>227865</v>
          </cell>
        </row>
        <row r="1199">
          <cell r="A1199" t="str">
            <v>PRAXIS</v>
          </cell>
          <cell r="B1199">
            <v>8566</v>
          </cell>
        </row>
        <row r="1200">
          <cell r="A1200" t="str">
            <v>PRECAM</v>
          </cell>
          <cell r="B1200">
            <v>24344</v>
          </cell>
        </row>
        <row r="1201">
          <cell r="A1201" t="str">
            <v>PRECOT</v>
          </cell>
          <cell r="B1201">
            <v>431</v>
          </cell>
        </row>
        <row r="1202">
          <cell r="A1202" t="str">
            <v>PRECWIRE</v>
          </cell>
          <cell r="B1202">
            <v>11341</v>
          </cell>
        </row>
        <row r="1203">
          <cell r="A1203" t="str">
            <v>PREMIERPOL</v>
          </cell>
          <cell r="B1203">
            <v>8531</v>
          </cell>
        </row>
        <row r="1204">
          <cell r="A1204" t="str">
            <v>PRESSMN</v>
          </cell>
          <cell r="B1204">
            <v>7672</v>
          </cell>
        </row>
        <row r="1205">
          <cell r="A1205" t="str">
            <v>PRESTIGE</v>
          </cell>
          <cell r="B1205">
            <v>911204</v>
          </cell>
        </row>
        <row r="1206">
          <cell r="A1206" t="str">
            <v>PRIMESECU</v>
          </cell>
          <cell r="B1206">
            <v>124359</v>
          </cell>
        </row>
        <row r="1207">
          <cell r="A1207" t="str">
            <v>PRINCEPIPE</v>
          </cell>
          <cell r="B1207">
            <v>288226</v>
          </cell>
        </row>
        <row r="1208">
          <cell r="A1208" t="str">
            <v>PROSEED</v>
          </cell>
          <cell r="B1208">
            <v>12110</v>
          </cell>
        </row>
        <row r="1209">
          <cell r="A1209" t="str">
            <v>PRSMJOHNSN</v>
          </cell>
          <cell r="B1209">
            <v>581873</v>
          </cell>
        </row>
        <row r="1210">
          <cell r="A1210" t="str">
            <v>PSB</v>
          </cell>
          <cell r="B1210">
            <v>289771</v>
          </cell>
        </row>
        <row r="1211">
          <cell r="A1211" t="str">
            <v>PSPPROJECT</v>
          </cell>
          <cell r="B1211">
            <v>24985</v>
          </cell>
        </row>
        <row r="1212">
          <cell r="A1212" t="str">
            <v>PSUBNKBEES</v>
          </cell>
          <cell r="B1212">
            <v>92875</v>
          </cell>
        </row>
        <row r="1213">
          <cell r="A1213" t="str">
            <v>PTC</v>
          </cell>
          <cell r="B1213">
            <v>869345</v>
          </cell>
        </row>
        <row r="1214">
          <cell r="A1214" t="str">
            <v>PTL</v>
          </cell>
          <cell r="B1214">
            <v>13715</v>
          </cell>
        </row>
        <row r="1215">
          <cell r="A1215" t="str">
            <v>PUNJABCHEM</v>
          </cell>
          <cell r="B1215">
            <v>6888</v>
          </cell>
        </row>
        <row r="1216">
          <cell r="A1216" t="str">
            <v>PURVA</v>
          </cell>
          <cell r="B1216">
            <v>79366</v>
          </cell>
        </row>
        <row r="1217">
          <cell r="A1217" t="str">
            <v>PVR</v>
          </cell>
          <cell r="B1217">
            <v>1644235</v>
          </cell>
        </row>
        <row r="1218">
          <cell r="A1218" t="str">
            <v>QGOLDHALF</v>
          </cell>
          <cell r="B1218">
            <v>3361</v>
          </cell>
        </row>
        <row r="1219">
          <cell r="A1219" t="str">
            <v>QNIFTY</v>
          </cell>
          <cell r="B1219">
            <v>62</v>
          </cell>
        </row>
        <row r="1220">
          <cell r="A1220" t="str">
            <v>QUESS</v>
          </cell>
          <cell r="B1220">
            <v>1104023</v>
          </cell>
        </row>
        <row r="1221">
          <cell r="A1221" t="str">
            <v>QUICKHEAL</v>
          </cell>
          <cell r="B1221">
            <v>421083</v>
          </cell>
        </row>
        <row r="1222">
          <cell r="A1222" t="str">
            <v>RADAAN</v>
          </cell>
          <cell r="B1222">
            <v>10220</v>
          </cell>
        </row>
        <row r="1223">
          <cell r="A1223" t="str">
            <v>RADICO</v>
          </cell>
          <cell r="B1223">
            <v>722065</v>
          </cell>
        </row>
        <row r="1224">
          <cell r="A1224" t="str">
            <v>RADIOCITY</v>
          </cell>
          <cell r="B1224">
            <v>220338</v>
          </cell>
        </row>
        <row r="1225">
          <cell r="A1225" t="str">
            <v>RAIN</v>
          </cell>
          <cell r="B1225">
            <v>1464699</v>
          </cell>
        </row>
        <row r="1226">
          <cell r="A1226" t="str">
            <v>RAJESHEXPO</v>
          </cell>
          <cell r="B1226">
            <v>156823</v>
          </cell>
        </row>
        <row r="1227">
          <cell r="A1227" t="str">
            <v>RAJTV</v>
          </cell>
          <cell r="B1227">
            <v>2105</v>
          </cell>
        </row>
        <row r="1228">
          <cell r="A1228" t="str">
            <v>RALLIS</v>
          </cell>
          <cell r="B1228">
            <v>1179504</v>
          </cell>
        </row>
        <row r="1229">
          <cell r="A1229" t="str">
            <v>RAMANEWS</v>
          </cell>
          <cell r="B1229">
            <v>13366</v>
          </cell>
        </row>
        <row r="1230">
          <cell r="A1230" t="str">
            <v>RAMASTEEL</v>
          </cell>
          <cell r="B1230">
            <v>6758</v>
          </cell>
        </row>
        <row r="1231">
          <cell r="A1231" t="str">
            <v>RAMCOCEM</v>
          </cell>
          <cell r="B1231">
            <v>604372</v>
          </cell>
        </row>
        <row r="1232">
          <cell r="A1232" t="str">
            <v>RAMCOIND</v>
          </cell>
          <cell r="B1232">
            <v>21876</v>
          </cell>
        </row>
        <row r="1233">
          <cell r="A1233" t="str">
            <v>RAMCOSYS</v>
          </cell>
          <cell r="B1233">
            <v>39156</v>
          </cell>
        </row>
        <row r="1234">
          <cell r="A1234" t="str">
            <v>RAMKY</v>
          </cell>
          <cell r="B1234">
            <v>35979</v>
          </cell>
        </row>
        <row r="1235">
          <cell r="A1235" t="str">
            <v>RANEHOLDIN</v>
          </cell>
          <cell r="B1235">
            <v>6065</v>
          </cell>
        </row>
        <row r="1236">
          <cell r="A1236" t="str">
            <v>RATNAMANI</v>
          </cell>
          <cell r="B1236">
            <v>17925</v>
          </cell>
        </row>
        <row r="1237">
          <cell r="A1237" t="str">
            <v>RAYMOND</v>
          </cell>
          <cell r="B1237">
            <v>385838</v>
          </cell>
        </row>
        <row r="1238">
          <cell r="A1238" t="str">
            <v>RBL</v>
          </cell>
          <cell r="B1238">
            <v>28717</v>
          </cell>
        </row>
        <row r="1239">
          <cell r="A1239" t="str">
            <v>RBLBANK</v>
          </cell>
          <cell r="B1239">
            <v>40809290</v>
          </cell>
        </row>
        <row r="1240">
          <cell r="A1240" t="str">
            <v>RCF</v>
          </cell>
          <cell r="B1240">
            <v>2826452</v>
          </cell>
        </row>
        <row r="1241">
          <cell r="A1241" t="str">
            <v>RCOM</v>
          </cell>
          <cell r="B1241">
            <v>133119301</v>
          </cell>
        </row>
        <row r="1242">
          <cell r="A1242" t="str">
            <v>RECLTD</v>
          </cell>
          <cell r="B1242">
            <v>8638236</v>
          </cell>
        </row>
        <row r="1243">
          <cell r="A1243" t="str">
            <v>RECLTD</v>
          </cell>
          <cell r="B1243">
            <v>965</v>
          </cell>
        </row>
        <row r="1244">
          <cell r="A1244" t="str">
            <v>RECLTD</v>
          </cell>
          <cell r="B1244">
            <v>372</v>
          </cell>
        </row>
        <row r="1245">
          <cell r="A1245" t="str">
            <v>RECLTD</v>
          </cell>
          <cell r="B1245">
            <v>294</v>
          </cell>
        </row>
        <row r="1246">
          <cell r="A1246" t="str">
            <v>RECLTD</v>
          </cell>
          <cell r="B1246">
            <v>5</v>
          </cell>
        </row>
        <row r="1247">
          <cell r="A1247" t="str">
            <v>RECLTD</v>
          </cell>
          <cell r="B1247">
            <v>52</v>
          </cell>
        </row>
        <row r="1248">
          <cell r="A1248" t="str">
            <v>REDINGTON</v>
          </cell>
          <cell r="B1248">
            <v>525383</v>
          </cell>
        </row>
        <row r="1249">
          <cell r="A1249" t="str">
            <v>REFEX</v>
          </cell>
          <cell r="B1249">
            <v>62423</v>
          </cell>
        </row>
        <row r="1250">
          <cell r="A1250" t="str">
            <v>RELAXO</v>
          </cell>
          <cell r="B1250">
            <v>585823</v>
          </cell>
        </row>
        <row r="1251">
          <cell r="A1251" t="str">
            <v>RELCAPITAL</v>
          </cell>
          <cell r="B1251">
            <v>24701814</v>
          </cell>
        </row>
        <row r="1252">
          <cell r="A1252" t="str">
            <v>RELIANCE</v>
          </cell>
          <cell r="B1252">
            <v>32617901</v>
          </cell>
        </row>
        <row r="1253">
          <cell r="A1253" t="str">
            <v>RELIGARE</v>
          </cell>
          <cell r="B1253">
            <v>346389</v>
          </cell>
        </row>
        <row r="1254">
          <cell r="A1254" t="str">
            <v>REMSONSIND</v>
          </cell>
          <cell r="B1254">
            <v>250</v>
          </cell>
        </row>
        <row r="1255">
          <cell r="A1255" t="str">
            <v>RENUKA</v>
          </cell>
          <cell r="B1255">
            <v>603053</v>
          </cell>
        </row>
        <row r="1256">
          <cell r="A1256" t="str">
            <v>REPCOHOME</v>
          </cell>
          <cell r="B1256">
            <v>185023</v>
          </cell>
        </row>
        <row r="1257">
          <cell r="A1257" t="str">
            <v>REPRO</v>
          </cell>
          <cell r="B1257">
            <v>11543</v>
          </cell>
        </row>
        <row r="1258">
          <cell r="A1258" t="str">
            <v>RESPONIND</v>
          </cell>
          <cell r="B1258">
            <v>106357</v>
          </cell>
        </row>
        <row r="1259">
          <cell r="A1259" t="str">
            <v>REVATHI</v>
          </cell>
          <cell r="B1259">
            <v>1677</v>
          </cell>
        </row>
        <row r="1260">
          <cell r="A1260" t="str">
            <v>RGL</v>
          </cell>
          <cell r="B1260">
            <v>3858</v>
          </cell>
        </row>
        <row r="1261">
          <cell r="A1261" t="str">
            <v>RHFL</v>
          </cell>
          <cell r="B1261">
            <v>51</v>
          </cell>
        </row>
        <row r="1262">
          <cell r="A1262" t="str">
            <v>RHFL</v>
          </cell>
          <cell r="B1262">
            <v>111</v>
          </cell>
        </row>
        <row r="1263">
          <cell r="A1263" t="str">
            <v>RICOAUTO</v>
          </cell>
          <cell r="B1263">
            <v>459917</v>
          </cell>
        </row>
        <row r="1264">
          <cell r="A1264" t="str">
            <v>RIIL</v>
          </cell>
          <cell r="B1264">
            <v>302694</v>
          </cell>
        </row>
        <row r="1265">
          <cell r="A1265" t="str">
            <v>RITES</v>
          </cell>
          <cell r="B1265">
            <v>1688041</v>
          </cell>
        </row>
        <row r="1266">
          <cell r="A1266" t="str">
            <v>RKDL</v>
          </cell>
          <cell r="B1266">
            <v>11752</v>
          </cell>
        </row>
        <row r="1267">
          <cell r="A1267" t="str">
            <v>RKFORGE</v>
          </cell>
          <cell r="B1267">
            <v>11290</v>
          </cell>
        </row>
        <row r="1268">
          <cell r="A1268" t="str">
            <v>RMDRIP</v>
          </cell>
          <cell r="B1268">
            <v>16000</v>
          </cell>
        </row>
        <row r="1269">
          <cell r="A1269" t="str">
            <v>RML</v>
          </cell>
          <cell r="B1269">
            <v>12888</v>
          </cell>
        </row>
        <row r="1270">
          <cell r="A1270" t="str">
            <v>ROHLTD</v>
          </cell>
          <cell r="B1270">
            <v>61146</v>
          </cell>
        </row>
        <row r="1271">
          <cell r="A1271" t="str">
            <v>ROLLT</v>
          </cell>
          <cell r="B1271">
            <v>12822</v>
          </cell>
        </row>
        <row r="1272">
          <cell r="A1272" t="str">
            <v>ROSSELLIND</v>
          </cell>
          <cell r="B1272">
            <v>3902</v>
          </cell>
        </row>
        <row r="1273">
          <cell r="A1273" t="str">
            <v>RPGLIFE</v>
          </cell>
          <cell r="B1273">
            <v>54124</v>
          </cell>
        </row>
        <row r="1274">
          <cell r="A1274" t="str">
            <v>RPOWER</v>
          </cell>
          <cell r="B1274">
            <v>37379633</v>
          </cell>
        </row>
        <row r="1275">
          <cell r="A1275" t="str">
            <v>RPPINFRA</v>
          </cell>
          <cell r="B1275">
            <v>14927</v>
          </cell>
        </row>
        <row r="1276">
          <cell r="A1276" t="str">
            <v>RPPL</v>
          </cell>
          <cell r="B1276">
            <v>2000</v>
          </cell>
        </row>
        <row r="1277">
          <cell r="A1277" t="str">
            <v>RSSOFTWARE</v>
          </cell>
          <cell r="B1277">
            <v>20269</v>
          </cell>
        </row>
        <row r="1278">
          <cell r="A1278" t="str">
            <v>RSWM</v>
          </cell>
          <cell r="B1278">
            <v>11561</v>
          </cell>
        </row>
        <row r="1279">
          <cell r="A1279" t="str">
            <v>RSYSTEMS</v>
          </cell>
          <cell r="B1279">
            <v>11838</v>
          </cell>
        </row>
        <row r="1280">
          <cell r="A1280" t="str">
            <v>RTNPOWER</v>
          </cell>
          <cell r="B1280">
            <v>1529500</v>
          </cell>
        </row>
        <row r="1281">
          <cell r="A1281" t="str">
            <v>RUBYMILLS</v>
          </cell>
          <cell r="B1281">
            <v>1579</v>
          </cell>
        </row>
        <row r="1282">
          <cell r="A1282" t="str">
            <v>RUCHIRA</v>
          </cell>
          <cell r="B1282">
            <v>32885</v>
          </cell>
        </row>
        <row r="1283">
          <cell r="A1283" t="str">
            <v>RUPA</v>
          </cell>
          <cell r="B1283">
            <v>59768</v>
          </cell>
        </row>
        <row r="1284">
          <cell r="A1284" t="str">
            <v>RUSHIL</v>
          </cell>
          <cell r="B1284">
            <v>14700</v>
          </cell>
        </row>
        <row r="1285">
          <cell r="A1285" t="str">
            <v>RVNL</v>
          </cell>
          <cell r="B1285">
            <v>2870878</v>
          </cell>
        </row>
        <row r="1286">
          <cell r="A1286" t="str">
            <v>SABEVENTS</v>
          </cell>
          <cell r="B1286">
            <v>149</v>
          </cell>
        </row>
        <row r="1287">
          <cell r="A1287" t="str">
            <v>SADBHAV</v>
          </cell>
          <cell r="B1287">
            <v>35218</v>
          </cell>
        </row>
        <row r="1288">
          <cell r="A1288" t="str">
            <v>SADBHIN</v>
          </cell>
          <cell r="B1288">
            <v>23609</v>
          </cell>
        </row>
        <row r="1289">
          <cell r="A1289" t="str">
            <v>SAFARI</v>
          </cell>
          <cell r="B1289">
            <v>2343</v>
          </cell>
        </row>
        <row r="1290">
          <cell r="A1290" t="str">
            <v>SAGCEM</v>
          </cell>
          <cell r="B1290">
            <v>4697</v>
          </cell>
        </row>
        <row r="1291">
          <cell r="A1291" t="str">
            <v>SAIL</v>
          </cell>
          <cell r="B1291">
            <v>35723601</v>
          </cell>
        </row>
        <row r="1292">
          <cell r="A1292" t="str">
            <v>SAKAR</v>
          </cell>
          <cell r="B1292">
            <v>6282</v>
          </cell>
        </row>
        <row r="1293">
          <cell r="A1293" t="str">
            <v>SAKSOFT</v>
          </cell>
          <cell r="B1293">
            <v>2254</v>
          </cell>
        </row>
        <row r="1294">
          <cell r="A1294" t="str">
            <v>SAKUMA</v>
          </cell>
          <cell r="B1294">
            <v>395376</v>
          </cell>
        </row>
        <row r="1295">
          <cell r="A1295" t="str">
            <v>SALASAR</v>
          </cell>
          <cell r="B1295">
            <v>38965</v>
          </cell>
        </row>
        <row r="1296">
          <cell r="A1296" t="str">
            <v>SALONA</v>
          </cell>
          <cell r="B1296">
            <v>905</v>
          </cell>
        </row>
        <row r="1297">
          <cell r="A1297" t="str">
            <v>SALSTEEL</v>
          </cell>
          <cell r="B1297">
            <v>12833</v>
          </cell>
        </row>
        <row r="1298">
          <cell r="A1298" t="str">
            <v>SALZERELEC</v>
          </cell>
          <cell r="B1298">
            <v>19232</v>
          </cell>
        </row>
        <row r="1299">
          <cell r="A1299" t="str">
            <v>SAMBHAAV</v>
          </cell>
          <cell r="B1299">
            <v>15604</v>
          </cell>
        </row>
        <row r="1300">
          <cell r="A1300" t="str">
            <v>SANCO</v>
          </cell>
          <cell r="B1300">
            <v>236283</v>
          </cell>
        </row>
        <row r="1301">
          <cell r="A1301" t="str">
            <v>SANDESH</v>
          </cell>
          <cell r="B1301">
            <v>318</v>
          </cell>
        </row>
        <row r="1302">
          <cell r="A1302" t="str">
            <v>SANDHAR</v>
          </cell>
          <cell r="B1302">
            <v>10486</v>
          </cell>
        </row>
        <row r="1303">
          <cell r="A1303" t="str">
            <v>SANGAMIND</v>
          </cell>
          <cell r="B1303">
            <v>9059</v>
          </cell>
        </row>
        <row r="1304">
          <cell r="A1304" t="str">
            <v>SANGHIIND</v>
          </cell>
          <cell r="B1304">
            <v>284271</v>
          </cell>
        </row>
        <row r="1305">
          <cell r="A1305" t="str">
            <v>SANGHVIMOV</v>
          </cell>
          <cell r="B1305">
            <v>21700</v>
          </cell>
        </row>
        <row r="1306">
          <cell r="A1306" t="str">
            <v>SANGINITA</v>
          </cell>
          <cell r="B1306">
            <v>28469</v>
          </cell>
        </row>
        <row r="1307">
          <cell r="A1307" t="str">
            <v>SANOFI</v>
          </cell>
          <cell r="B1307">
            <v>51868</v>
          </cell>
        </row>
        <row r="1308">
          <cell r="A1308" t="str">
            <v>SARDAEN</v>
          </cell>
          <cell r="B1308">
            <v>82818</v>
          </cell>
        </row>
        <row r="1309">
          <cell r="A1309" t="str">
            <v>SAREGAMA</v>
          </cell>
          <cell r="B1309">
            <v>5460</v>
          </cell>
        </row>
        <row r="1310">
          <cell r="A1310" t="str">
            <v>SARLAPOLY</v>
          </cell>
          <cell r="B1310">
            <v>20007</v>
          </cell>
        </row>
        <row r="1311">
          <cell r="A1311" t="str">
            <v>SARVESHWAR</v>
          </cell>
          <cell r="B1311">
            <v>27200</v>
          </cell>
        </row>
        <row r="1312">
          <cell r="A1312" t="str">
            <v>SASKEN</v>
          </cell>
          <cell r="B1312">
            <v>16863</v>
          </cell>
        </row>
        <row r="1313">
          <cell r="A1313" t="str">
            <v>SATHAISPAT</v>
          </cell>
          <cell r="B1313">
            <v>285</v>
          </cell>
        </row>
        <row r="1314">
          <cell r="A1314" t="str">
            <v>SATIA</v>
          </cell>
          <cell r="B1314">
            <v>7176</v>
          </cell>
        </row>
        <row r="1315">
          <cell r="A1315" t="str">
            <v>SATIN</v>
          </cell>
          <cell r="B1315">
            <v>242070</v>
          </cell>
        </row>
        <row r="1316">
          <cell r="A1316" t="str">
            <v>SBICARD</v>
          </cell>
          <cell r="B1316">
            <v>6038342</v>
          </cell>
        </row>
        <row r="1317">
          <cell r="A1317" t="str">
            <v>SBIETFQLTY</v>
          </cell>
          <cell r="B1317">
            <v>3413</v>
          </cell>
        </row>
        <row r="1318">
          <cell r="A1318" t="str">
            <v>SBILIFE</v>
          </cell>
          <cell r="B1318">
            <v>1925414</v>
          </cell>
        </row>
        <row r="1319">
          <cell r="A1319" t="str">
            <v>SBIN</v>
          </cell>
          <cell r="B1319">
            <v>63069460</v>
          </cell>
        </row>
        <row r="1320">
          <cell r="A1320" t="str">
            <v>SBIN</v>
          </cell>
          <cell r="B1320">
            <v>50</v>
          </cell>
        </row>
        <row r="1321">
          <cell r="A1321" t="str">
            <v>SBIN</v>
          </cell>
          <cell r="B1321">
            <v>584</v>
          </cell>
        </row>
        <row r="1322">
          <cell r="A1322" t="str">
            <v>SBIN</v>
          </cell>
          <cell r="B1322">
            <v>1</v>
          </cell>
        </row>
        <row r="1323">
          <cell r="A1323" t="str">
            <v>SCHAEFFLER</v>
          </cell>
          <cell r="B1323">
            <v>7501</v>
          </cell>
        </row>
        <row r="1324">
          <cell r="A1324" t="str">
            <v>SCHAND</v>
          </cell>
          <cell r="B1324">
            <v>133988</v>
          </cell>
        </row>
        <row r="1325">
          <cell r="A1325" t="str">
            <v>SCHNEIDER</v>
          </cell>
          <cell r="B1325">
            <v>180877</v>
          </cell>
        </row>
        <row r="1326">
          <cell r="A1326" t="str">
            <v>SCI</v>
          </cell>
          <cell r="B1326">
            <v>2449715</v>
          </cell>
        </row>
        <row r="1327">
          <cell r="A1327" t="str">
            <v>SEAMECLTD</v>
          </cell>
          <cell r="B1327">
            <v>704</v>
          </cell>
        </row>
        <row r="1328">
          <cell r="A1328" t="str">
            <v>SECURCRED</v>
          </cell>
          <cell r="B1328">
            <v>1800</v>
          </cell>
        </row>
        <row r="1329">
          <cell r="A1329" t="str">
            <v>SELAN</v>
          </cell>
          <cell r="B1329">
            <v>17034</v>
          </cell>
        </row>
        <row r="1330">
          <cell r="A1330" t="str">
            <v>SEPOWER</v>
          </cell>
          <cell r="B1330">
            <v>258562</v>
          </cell>
        </row>
        <row r="1331">
          <cell r="A1331" t="str">
            <v>SEQUENT</v>
          </cell>
          <cell r="B1331">
            <v>149973</v>
          </cell>
        </row>
        <row r="1332">
          <cell r="A1332" t="str">
            <v>SERVOTECH</v>
          </cell>
          <cell r="B1332">
            <v>4000</v>
          </cell>
        </row>
        <row r="1333">
          <cell r="A1333" t="str">
            <v>SESHAPAPER</v>
          </cell>
          <cell r="B1333">
            <v>54751</v>
          </cell>
        </row>
        <row r="1334">
          <cell r="A1334" t="str">
            <v>SETCO</v>
          </cell>
          <cell r="B1334">
            <v>124876</v>
          </cell>
        </row>
        <row r="1335">
          <cell r="A1335" t="str">
            <v>SETF10GILT</v>
          </cell>
          <cell r="B1335">
            <v>267</v>
          </cell>
        </row>
        <row r="1336">
          <cell r="A1336" t="str">
            <v>SETFGOLD</v>
          </cell>
          <cell r="B1336">
            <v>21091</v>
          </cell>
        </row>
        <row r="1337">
          <cell r="A1337" t="str">
            <v>SETFNIF50</v>
          </cell>
          <cell r="B1337">
            <v>1126593</v>
          </cell>
        </row>
        <row r="1338">
          <cell r="A1338" t="str">
            <v>SETFNIFBK</v>
          </cell>
          <cell r="B1338">
            <v>333308</v>
          </cell>
        </row>
        <row r="1339">
          <cell r="A1339" t="str">
            <v>SETFNN50</v>
          </cell>
          <cell r="B1339">
            <v>19027</v>
          </cell>
        </row>
        <row r="1340">
          <cell r="A1340" t="str">
            <v>SEYAIND</v>
          </cell>
          <cell r="B1340">
            <v>32126</v>
          </cell>
        </row>
        <row r="1341">
          <cell r="A1341" t="str">
            <v>SFL</v>
          </cell>
          <cell r="B1341">
            <v>15361</v>
          </cell>
        </row>
        <row r="1342">
          <cell r="A1342" t="str">
            <v>SGBAUG24</v>
          </cell>
          <cell r="B1342">
            <v>1146</v>
          </cell>
        </row>
        <row r="1343">
          <cell r="A1343" t="str">
            <v>SGBAUG27</v>
          </cell>
          <cell r="B1343">
            <v>43</v>
          </cell>
        </row>
        <row r="1344">
          <cell r="A1344" t="str">
            <v>SGBDC27VII</v>
          </cell>
          <cell r="B1344">
            <v>52</v>
          </cell>
        </row>
        <row r="1345">
          <cell r="A1345" t="str">
            <v>SGBDEC2512</v>
          </cell>
          <cell r="B1345">
            <v>2</v>
          </cell>
        </row>
        <row r="1346">
          <cell r="A1346" t="str">
            <v>SGBDEC2513</v>
          </cell>
          <cell r="B1346">
            <v>10</v>
          </cell>
        </row>
        <row r="1347">
          <cell r="A1347" t="str">
            <v>SGBDEC26</v>
          </cell>
          <cell r="B1347">
            <v>8</v>
          </cell>
        </row>
        <row r="1348">
          <cell r="A1348" t="str">
            <v>SGBFEB24</v>
          </cell>
          <cell r="B1348">
            <v>154</v>
          </cell>
        </row>
        <row r="1349">
          <cell r="A1349" t="str">
            <v>SGBFEB27</v>
          </cell>
          <cell r="B1349">
            <v>2</v>
          </cell>
        </row>
        <row r="1350">
          <cell r="A1350" t="str">
            <v>SGBFEB28IX</v>
          </cell>
          <cell r="B1350">
            <v>76</v>
          </cell>
        </row>
        <row r="1351">
          <cell r="A1351" t="str">
            <v>SGBJ28VIII</v>
          </cell>
          <cell r="B1351">
            <v>18</v>
          </cell>
        </row>
        <row r="1352">
          <cell r="A1352" t="str">
            <v>SGBJAN26</v>
          </cell>
          <cell r="B1352">
            <v>6</v>
          </cell>
        </row>
        <row r="1353">
          <cell r="A1353" t="str">
            <v>SGBJAN27</v>
          </cell>
          <cell r="B1353">
            <v>42</v>
          </cell>
        </row>
        <row r="1354">
          <cell r="A1354" t="str">
            <v>SGBJUL25</v>
          </cell>
          <cell r="B1354">
            <v>93</v>
          </cell>
        </row>
        <row r="1355">
          <cell r="A1355" t="str">
            <v>SGBJUL27</v>
          </cell>
          <cell r="B1355">
            <v>181</v>
          </cell>
        </row>
        <row r="1356">
          <cell r="A1356" t="str">
            <v>SGBJUN27</v>
          </cell>
          <cell r="B1356">
            <v>18</v>
          </cell>
        </row>
        <row r="1357">
          <cell r="A1357" t="str">
            <v>SGBMAR24</v>
          </cell>
          <cell r="B1357">
            <v>73</v>
          </cell>
        </row>
        <row r="1358">
          <cell r="A1358" t="str">
            <v>SGBMAR25</v>
          </cell>
          <cell r="B1358">
            <v>79</v>
          </cell>
        </row>
        <row r="1359">
          <cell r="A1359" t="str">
            <v>SGBMAR28X</v>
          </cell>
          <cell r="B1359">
            <v>7</v>
          </cell>
        </row>
        <row r="1360">
          <cell r="A1360" t="str">
            <v>SGBMAY25</v>
          </cell>
          <cell r="B1360">
            <v>544</v>
          </cell>
        </row>
        <row r="1361">
          <cell r="A1361" t="str">
            <v>SGBMAY26</v>
          </cell>
          <cell r="B1361">
            <v>75</v>
          </cell>
        </row>
        <row r="1362">
          <cell r="A1362" t="str">
            <v>SGBNOV23</v>
          </cell>
          <cell r="B1362">
            <v>78</v>
          </cell>
        </row>
        <row r="1363">
          <cell r="A1363" t="str">
            <v>SGBNOV24</v>
          </cell>
          <cell r="B1363">
            <v>150</v>
          </cell>
        </row>
        <row r="1364">
          <cell r="A1364" t="str">
            <v>SGBNOV25</v>
          </cell>
          <cell r="B1364">
            <v>32</v>
          </cell>
        </row>
        <row r="1365">
          <cell r="A1365" t="str">
            <v>SGBNOV258</v>
          </cell>
          <cell r="B1365">
            <v>3</v>
          </cell>
        </row>
        <row r="1366">
          <cell r="A1366" t="str">
            <v>SGBNOV26</v>
          </cell>
          <cell r="B1366">
            <v>50</v>
          </cell>
        </row>
        <row r="1367">
          <cell r="A1367" t="str">
            <v>SGBOCT25</v>
          </cell>
          <cell r="B1367">
            <v>13</v>
          </cell>
        </row>
        <row r="1368">
          <cell r="A1368" t="str">
            <v>SGBOCT25IV</v>
          </cell>
          <cell r="B1368">
            <v>10</v>
          </cell>
        </row>
        <row r="1369">
          <cell r="A1369" t="str">
            <v>SGBOCT25V</v>
          </cell>
          <cell r="B1369">
            <v>39</v>
          </cell>
        </row>
        <row r="1370">
          <cell r="A1370" t="str">
            <v>SGBOCT26</v>
          </cell>
          <cell r="B1370">
            <v>56</v>
          </cell>
        </row>
        <row r="1371">
          <cell r="A1371" t="str">
            <v>SGBOCT27</v>
          </cell>
          <cell r="B1371">
            <v>36</v>
          </cell>
        </row>
        <row r="1372">
          <cell r="A1372" t="str">
            <v>SGBOCT27VI</v>
          </cell>
          <cell r="B1372">
            <v>57</v>
          </cell>
        </row>
        <row r="1373">
          <cell r="A1373" t="str">
            <v>SGBSEP24</v>
          </cell>
          <cell r="B1373">
            <v>345</v>
          </cell>
        </row>
        <row r="1374">
          <cell r="A1374" t="str">
            <v>SGBSEP27</v>
          </cell>
          <cell r="B1374">
            <v>57</v>
          </cell>
        </row>
        <row r="1375">
          <cell r="A1375" t="str">
            <v>SGL</v>
          </cell>
          <cell r="B1375">
            <v>10258</v>
          </cell>
        </row>
        <row r="1376">
          <cell r="A1376" t="str">
            <v>SHAHALLOYS</v>
          </cell>
          <cell r="B1376">
            <v>1217</v>
          </cell>
        </row>
        <row r="1377">
          <cell r="A1377" t="str">
            <v>SHALBY</v>
          </cell>
          <cell r="B1377">
            <v>336754</v>
          </cell>
        </row>
        <row r="1378">
          <cell r="A1378" t="str">
            <v>SHALPAINTS</v>
          </cell>
          <cell r="B1378">
            <v>60706</v>
          </cell>
        </row>
        <row r="1379">
          <cell r="A1379" t="str">
            <v>SHANKARA</v>
          </cell>
          <cell r="B1379">
            <v>23463</v>
          </cell>
        </row>
        <row r="1380">
          <cell r="A1380" t="str">
            <v>SHANTIGEAR</v>
          </cell>
          <cell r="B1380">
            <v>27463</v>
          </cell>
        </row>
        <row r="1381">
          <cell r="A1381" t="str">
            <v>SHARDACROP</v>
          </cell>
          <cell r="B1381">
            <v>12612</v>
          </cell>
        </row>
        <row r="1382">
          <cell r="A1382" t="str">
            <v>SHARDAMOTR</v>
          </cell>
          <cell r="B1382">
            <v>1186</v>
          </cell>
        </row>
        <row r="1383">
          <cell r="A1383" t="str">
            <v>SHARIABEES</v>
          </cell>
          <cell r="B1383">
            <v>606</v>
          </cell>
        </row>
        <row r="1384">
          <cell r="A1384" t="str">
            <v>SHEMAROO</v>
          </cell>
          <cell r="B1384">
            <v>86066</v>
          </cell>
        </row>
        <row r="1385">
          <cell r="A1385" t="str">
            <v>SHIL</v>
          </cell>
          <cell r="B1385">
            <v>26560</v>
          </cell>
        </row>
        <row r="1386">
          <cell r="A1386" t="str">
            <v>SHILPAMED</v>
          </cell>
          <cell r="B1386">
            <v>61148</v>
          </cell>
        </row>
        <row r="1387">
          <cell r="A1387" t="str">
            <v>SHIRPUR-G</v>
          </cell>
          <cell r="B1387">
            <v>41583</v>
          </cell>
        </row>
        <row r="1388">
          <cell r="A1388" t="str">
            <v>SHIVAMAUTO</v>
          </cell>
          <cell r="B1388">
            <v>129810</v>
          </cell>
        </row>
        <row r="1389">
          <cell r="A1389" t="str">
            <v>SHIVAMILLS</v>
          </cell>
          <cell r="B1389">
            <v>7601</v>
          </cell>
        </row>
        <row r="1390">
          <cell r="A1390" t="str">
            <v>SHK</v>
          </cell>
          <cell r="B1390">
            <v>1099602</v>
          </cell>
        </row>
        <row r="1391">
          <cell r="A1391" t="str">
            <v>SHOPERSTOP</v>
          </cell>
          <cell r="B1391">
            <v>194704</v>
          </cell>
        </row>
        <row r="1392">
          <cell r="A1392" t="str">
            <v>SHREDIGCEM</v>
          </cell>
          <cell r="B1392">
            <v>318171</v>
          </cell>
        </row>
        <row r="1393">
          <cell r="A1393" t="str">
            <v>SHREECEM</v>
          </cell>
          <cell r="B1393">
            <v>53649</v>
          </cell>
        </row>
        <row r="1394">
          <cell r="A1394" t="str">
            <v>SHREEPUSHK</v>
          </cell>
          <cell r="B1394">
            <v>13010</v>
          </cell>
        </row>
        <row r="1395">
          <cell r="A1395" t="str">
            <v>SHREERAMA</v>
          </cell>
          <cell r="B1395">
            <v>6310</v>
          </cell>
        </row>
        <row r="1396">
          <cell r="A1396" t="str">
            <v>SHRENIK</v>
          </cell>
          <cell r="B1396">
            <v>4233</v>
          </cell>
        </row>
        <row r="1397">
          <cell r="A1397" t="str">
            <v>SHREYANIND</v>
          </cell>
          <cell r="B1397">
            <v>28555</v>
          </cell>
        </row>
        <row r="1398">
          <cell r="A1398" t="str">
            <v>SHREYAS</v>
          </cell>
          <cell r="B1398">
            <v>45315</v>
          </cell>
        </row>
        <row r="1399">
          <cell r="A1399" t="str">
            <v>SHRIRAMCIT</v>
          </cell>
          <cell r="B1399">
            <v>24651</v>
          </cell>
        </row>
        <row r="1400">
          <cell r="A1400" t="str">
            <v>SHRIRAMEPC</v>
          </cell>
          <cell r="B1400">
            <v>182807</v>
          </cell>
        </row>
        <row r="1401">
          <cell r="A1401" t="str">
            <v>SHUBHLAXMI</v>
          </cell>
          <cell r="B1401">
            <v>13000</v>
          </cell>
        </row>
        <row r="1402">
          <cell r="A1402" t="str">
            <v>SHYAMCENT</v>
          </cell>
          <cell r="B1402">
            <v>5591</v>
          </cell>
        </row>
        <row r="1403">
          <cell r="A1403" t="str">
            <v>SICAGEN</v>
          </cell>
          <cell r="B1403">
            <v>14408</v>
          </cell>
        </row>
        <row r="1404">
          <cell r="A1404" t="str">
            <v>SIEMENS</v>
          </cell>
          <cell r="B1404">
            <v>609933</v>
          </cell>
        </row>
        <row r="1405">
          <cell r="A1405" t="str">
            <v>SIGIND</v>
          </cell>
          <cell r="B1405">
            <v>9657</v>
          </cell>
        </row>
        <row r="1406">
          <cell r="A1406" t="str">
            <v>SILINV</v>
          </cell>
          <cell r="B1406">
            <v>4047</v>
          </cell>
        </row>
        <row r="1407">
          <cell r="A1407" t="str">
            <v>SILVERTUC</v>
          </cell>
          <cell r="B1407">
            <v>3000</v>
          </cell>
        </row>
        <row r="1408">
          <cell r="A1408" t="str">
            <v>SIMBHALS</v>
          </cell>
          <cell r="B1408">
            <v>8555</v>
          </cell>
        </row>
        <row r="1409">
          <cell r="A1409" t="str">
            <v>SIMPLEXINF</v>
          </cell>
          <cell r="B1409">
            <v>1360318</v>
          </cell>
        </row>
        <row r="1410">
          <cell r="A1410" t="str">
            <v>SINTERCOM</v>
          </cell>
          <cell r="B1410">
            <v>102000</v>
          </cell>
        </row>
        <row r="1411">
          <cell r="A1411" t="str">
            <v>SINTEX</v>
          </cell>
          <cell r="B1411">
            <v>5857704</v>
          </cell>
        </row>
        <row r="1412">
          <cell r="A1412" t="str">
            <v>SIRCA</v>
          </cell>
          <cell r="B1412">
            <v>7388</v>
          </cell>
        </row>
        <row r="1413">
          <cell r="A1413" t="str">
            <v>SIS</v>
          </cell>
          <cell r="B1413">
            <v>91009</v>
          </cell>
        </row>
        <row r="1414">
          <cell r="A1414" t="str">
            <v>SIYSIL</v>
          </cell>
          <cell r="B1414">
            <v>961840</v>
          </cell>
        </row>
        <row r="1415">
          <cell r="A1415" t="str">
            <v>SJVN</v>
          </cell>
          <cell r="B1415">
            <v>1271729</v>
          </cell>
        </row>
        <row r="1416">
          <cell r="A1416" t="str">
            <v>SKFINDIA</v>
          </cell>
          <cell r="B1416">
            <v>52279</v>
          </cell>
        </row>
        <row r="1417">
          <cell r="A1417" t="str">
            <v>SKIL</v>
          </cell>
          <cell r="B1417">
            <v>8902</v>
          </cell>
        </row>
        <row r="1418">
          <cell r="A1418" t="str">
            <v>SKIPPER</v>
          </cell>
          <cell r="B1418">
            <v>46583</v>
          </cell>
        </row>
        <row r="1419">
          <cell r="A1419" t="str">
            <v>SKMEGGPROD</v>
          </cell>
          <cell r="B1419">
            <v>8249</v>
          </cell>
        </row>
        <row r="1420">
          <cell r="A1420" t="str">
            <v>SMARTLINK</v>
          </cell>
          <cell r="B1420">
            <v>2420</v>
          </cell>
        </row>
        <row r="1421">
          <cell r="A1421" t="str">
            <v>SMLISUZU</v>
          </cell>
          <cell r="B1421">
            <v>61389</v>
          </cell>
        </row>
        <row r="1422">
          <cell r="A1422" t="str">
            <v>SMSLIFE</v>
          </cell>
          <cell r="B1422">
            <v>9661</v>
          </cell>
        </row>
        <row r="1423">
          <cell r="A1423" t="str">
            <v>SMSPHARMA</v>
          </cell>
          <cell r="B1423">
            <v>482410</v>
          </cell>
        </row>
        <row r="1424">
          <cell r="A1424" t="str">
            <v>SNOWMAN</v>
          </cell>
          <cell r="B1424">
            <v>240237</v>
          </cell>
        </row>
        <row r="1425">
          <cell r="A1425" t="str">
            <v>SOBHA</v>
          </cell>
          <cell r="B1425">
            <v>376556</v>
          </cell>
        </row>
        <row r="1426">
          <cell r="A1426" t="str">
            <v>SOLARA</v>
          </cell>
          <cell r="B1426">
            <v>74779</v>
          </cell>
        </row>
        <row r="1427">
          <cell r="A1427" t="str">
            <v>SOLARINDS</v>
          </cell>
          <cell r="B1427">
            <v>12400</v>
          </cell>
        </row>
        <row r="1428">
          <cell r="A1428" t="str">
            <v>SOMANYCERA</v>
          </cell>
          <cell r="B1428">
            <v>265686</v>
          </cell>
        </row>
        <row r="1429">
          <cell r="A1429" t="str">
            <v>SOMATEX</v>
          </cell>
          <cell r="B1429">
            <v>5640</v>
          </cell>
        </row>
        <row r="1430">
          <cell r="A1430" t="str">
            <v>SOMICONVEY</v>
          </cell>
          <cell r="B1430">
            <v>1912</v>
          </cell>
        </row>
        <row r="1431">
          <cell r="A1431" t="str">
            <v>SONATSOFTW</v>
          </cell>
          <cell r="B1431">
            <v>275584</v>
          </cell>
        </row>
        <row r="1432">
          <cell r="A1432" t="str">
            <v>SORILINFRA</v>
          </cell>
          <cell r="B1432">
            <v>117592</v>
          </cell>
        </row>
        <row r="1433">
          <cell r="A1433" t="str">
            <v>SOTL</v>
          </cell>
          <cell r="B1433">
            <v>604</v>
          </cell>
        </row>
        <row r="1434">
          <cell r="A1434" t="str">
            <v>SOUTHBANK</v>
          </cell>
          <cell r="B1434">
            <v>15489942</v>
          </cell>
        </row>
        <row r="1435">
          <cell r="A1435" t="str">
            <v>SOUTHWEST</v>
          </cell>
          <cell r="B1435">
            <v>6600</v>
          </cell>
        </row>
        <row r="1436">
          <cell r="A1436" t="str">
            <v>SPAL</v>
          </cell>
          <cell r="B1436">
            <v>12214</v>
          </cell>
        </row>
        <row r="1437">
          <cell r="A1437" t="str">
            <v>SPANDANA</v>
          </cell>
          <cell r="B1437">
            <v>19671</v>
          </cell>
        </row>
        <row r="1438">
          <cell r="A1438" t="str">
            <v>SPARC</v>
          </cell>
          <cell r="B1438">
            <v>1006861</v>
          </cell>
        </row>
        <row r="1439">
          <cell r="A1439" t="str">
            <v>SPECIALITY</v>
          </cell>
          <cell r="B1439">
            <v>32346</v>
          </cell>
        </row>
        <row r="1440">
          <cell r="A1440" t="str">
            <v>SPENCERS</v>
          </cell>
          <cell r="B1440">
            <v>955491</v>
          </cell>
        </row>
        <row r="1441">
          <cell r="A1441" t="str">
            <v>SPIC</v>
          </cell>
          <cell r="B1441">
            <v>27761</v>
          </cell>
        </row>
        <row r="1442">
          <cell r="A1442" t="str">
            <v>SPICEJET</v>
          </cell>
          <cell r="B1442">
            <v>7102320</v>
          </cell>
        </row>
        <row r="1443">
          <cell r="A1443" t="str">
            <v>SPLIL</v>
          </cell>
          <cell r="B1443">
            <v>40307</v>
          </cell>
        </row>
        <row r="1444">
          <cell r="A1444" t="str">
            <v>SPMLINFRA</v>
          </cell>
          <cell r="B1444">
            <v>11077</v>
          </cell>
        </row>
        <row r="1445">
          <cell r="A1445" t="str">
            <v>SREEL</v>
          </cell>
          <cell r="B1445">
            <v>5670</v>
          </cell>
        </row>
        <row r="1446">
          <cell r="A1446" t="str">
            <v>SREIBNPNCD</v>
          </cell>
          <cell r="B1446">
            <v>846</v>
          </cell>
        </row>
        <row r="1447">
          <cell r="A1447" t="str">
            <v>SREIBNPNCD</v>
          </cell>
          <cell r="B1447">
            <v>123</v>
          </cell>
        </row>
        <row r="1448">
          <cell r="A1448" t="str">
            <v>SREIBNPNCD</v>
          </cell>
          <cell r="B1448">
            <v>103</v>
          </cell>
        </row>
        <row r="1449">
          <cell r="A1449" t="str">
            <v>SREIBNPNCD</v>
          </cell>
          <cell r="B1449">
            <v>224</v>
          </cell>
        </row>
        <row r="1450">
          <cell r="A1450" t="str">
            <v>SREIBNPNCD</v>
          </cell>
          <cell r="B1450">
            <v>67</v>
          </cell>
        </row>
        <row r="1451">
          <cell r="A1451" t="str">
            <v>SREIBNPNCD</v>
          </cell>
          <cell r="B1451">
            <v>7</v>
          </cell>
        </row>
        <row r="1452">
          <cell r="A1452" t="str">
            <v>SREINFRA</v>
          </cell>
          <cell r="B1452">
            <v>1156242</v>
          </cell>
        </row>
        <row r="1453">
          <cell r="A1453" t="str">
            <v>SRF</v>
          </cell>
          <cell r="B1453">
            <v>207392</v>
          </cell>
        </row>
        <row r="1454">
          <cell r="A1454" t="str">
            <v>SRHHYPOLTD</v>
          </cell>
          <cell r="B1454">
            <v>4336</v>
          </cell>
        </row>
        <row r="1455">
          <cell r="A1455" t="str">
            <v>SRIPIPES</v>
          </cell>
          <cell r="B1455">
            <v>93945</v>
          </cell>
        </row>
        <row r="1456">
          <cell r="A1456" t="str">
            <v>SRTRANSFIN</v>
          </cell>
          <cell r="B1456">
            <v>6777000</v>
          </cell>
        </row>
        <row r="1457">
          <cell r="A1457" t="str">
            <v>SRTRANSFIN</v>
          </cell>
          <cell r="B1457">
            <v>485</v>
          </cell>
        </row>
        <row r="1458">
          <cell r="A1458" t="str">
            <v>SRTRANSFIN</v>
          </cell>
          <cell r="B1458">
            <v>39</v>
          </cell>
        </row>
        <row r="1459">
          <cell r="A1459" t="str">
            <v>SRTRANSFIN</v>
          </cell>
          <cell r="B1459">
            <v>10</v>
          </cell>
        </row>
        <row r="1460">
          <cell r="A1460" t="str">
            <v>SRTRANSFIN</v>
          </cell>
          <cell r="B1460">
            <v>11</v>
          </cell>
        </row>
        <row r="1461">
          <cell r="A1461" t="str">
            <v>SRTRANSFIN</v>
          </cell>
          <cell r="B1461">
            <v>140</v>
          </cell>
        </row>
        <row r="1462">
          <cell r="A1462" t="str">
            <v>SRTRANSFIN</v>
          </cell>
          <cell r="B1462">
            <v>173</v>
          </cell>
        </row>
        <row r="1463">
          <cell r="A1463" t="str">
            <v>SRTRANSFIN</v>
          </cell>
          <cell r="B1463">
            <v>1000</v>
          </cell>
        </row>
        <row r="1464">
          <cell r="A1464" t="str">
            <v>SRTRANSFIN</v>
          </cell>
          <cell r="B1464">
            <v>392</v>
          </cell>
        </row>
        <row r="1465">
          <cell r="A1465" t="str">
            <v>SRTRANSFIN</v>
          </cell>
          <cell r="B1465">
            <v>218</v>
          </cell>
        </row>
        <row r="1466">
          <cell r="A1466" t="str">
            <v>SRTRANSFIN</v>
          </cell>
          <cell r="B1466">
            <v>125</v>
          </cell>
        </row>
        <row r="1467">
          <cell r="A1467" t="str">
            <v>SRTRANSFIN</v>
          </cell>
          <cell r="B1467">
            <v>160</v>
          </cell>
        </row>
        <row r="1468">
          <cell r="A1468" t="str">
            <v>SRTRANSFIN</v>
          </cell>
          <cell r="B1468">
            <v>10</v>
          </cell>
        </row>
        <row r="1469">
          <cell r="A1469" t="str">
            <v>SRTRANSFIN</v>
          </cell>
          <cell r="B1469">
            <v>2179</v>
          </cell>
        </row>
        <row r="1470">
          <cell r="A1470" t="str">
            <v>SRTRANSFIN</v>
          </cell>
          <cell r="B1470">
            <v>65</v>
          </cell>
        </row>
        <row r="1471">
          <cell r="A1471" t="str">
            <v>SRTRANSFIN</v>
          </cell>
          <cell r="B1471">
            <v>220</v>
          </cell>
        </row>
        <row r="1472">
          <cell r="A1472" t="str">
            <v>SRTRANSFIN</v>
          </cell>
          <cell r="B1472">
            <v>650</v>
          </cell>
        </row>
        <row r="1473">
          <cell r="A1473" t="str">
            <v>SRTRANSFIN</v>
          </cell>
          <cell r="B1473">
            <v>170</v>
          </cell>
        </row>
        <row r="1474">
          <cell r="A1474" t="str">
            <v>SRTRANSFIN</v>
          </cell>
          <cell r="B1474">
            <v>143</v>
          </cell>
        </row>
        <row r="1475">
          <cell r="A1475" t="str">
            <v>SRTRANSFIN</v>
          </cell>
          <cell r="B1475">
            <v>160</v>
          </cell>
        </row>
        <row r="1476">
          <cell r="A1476" t="str">
            <v>SRTRANSFIN</v>
          </cell>
          <cell r="B1476">
            <v>75</v>
          </cell>
        </row>
        <row r="1477">
          <cell r="A1477" t="str">
            <v>SRTRANSFIN</v>
          </cell>
          <cell r="B1477">
            <v>305</v>
          </cell>
        </row>
        <row r="1478">
          <cell r="A1478" t="str">
            <v>SRTRANSFIN</v>
          </cell>
          <cell r="B1478">
            <v>131</v>
          </cell>
        </row>
        <row r="1479">
          <cell r="A1479" t="str">
            <v>SRTRANSFIN</v>
          </cell>
          <cell r="B1479">
            <v>606</v>
          </cell>
        </row>
        <row r="1480">
          <cell r="A1480" t="str">
            <v>SRTRANSFIN</v>
          </cell>
          <cell r="B1480">
            <v>40</v>
          </cell>
        </row>
        <row r="1481">
          <cell r="A1481" t="str">
            <v>SRTRANSFIN</v>
          </cell>
          <cell r="B1481">
            <v>1011</v>
          </cell>
        </row>
        <row r="1482">
          <cell r="A1482" t="str">
            <v>SRTRANSFIN</v>
          </cell>
          <cell r="B1482">
            <v>277</v>
          </cell>
        </row>
        <row r="1483">
          <cell r="A1483" t="str">
            <v>SRTRANSFIN</v>
          </cell>
          <cell r="B1483">
            <v>100</v>
          </cell>
        </row>
        <row r="1484">
          <cell r="A1484" t="str">
            <v>SRTRANSFIN</v>
          </cell>
          <cell r="B1484">
            <v>33</v>
          </cell>
        </row>
        <row r="1485">
          <cell r="A1485" t="str">
            <v>SSWL</v>
          </cell>
          <cell r="B1485">
            <v>24932</v>
          </cell>
        </row>
        <row r="1486">
          <cell r="A1486" t="str">
            <v>STAMPEDE</v>
          </cell>
          <cell r="B1486">
            <v>68445</v>
          </cell>
        </row>
        <row r="1487">
          <cell r="A1487" t="str">
            <v>STAN</v>
          </cell>
          <cell r="B1487">
            <v>5993</v>
          </cell>
        </row>
        <row r="1488">
          <cell r="A1488" t="str">
            <v>STAR</v>
          </cell>
          <cell r="B1488">
            <v>5154052</v>
          </cell>
        </row>
        <row r="1489">
          <cell r="A1489" t="str">
            <v>STARCEMENT</v>
          </cell>
          <cell r="B1489">
            <v>119680</v>
          </cell>
        </row>
        <row r="1490">
          <cell r="A1490" t="str">
            <v>STARPAPER</v>
          </cell>
          <cell r="B1490">
            <v>169861</v>
          </cell>
        </row>
        <row r="1491">
          <cell r="A1491" t="str">
            <v>STEELCITY</v>
          </cell>
          <cell r="B1491">
            <v>3764</v>
          </cell>
        </row>
        <row r="1492">
          <cell r="A1492" t="str">
            <v>STEELXIND</v>
          </cell>
          <cell r="B1492">
            <v>6203</v>
          </cell>
        </row>
        <row r="1493">
          <cell r="A1493" t="str">
            <v>STEL</v>
          </cell>
          <cell r="B1493">
            <v>15948</v>
          </cell>
        </row>
        <row r="1494">
          <cell r="A1494" t="str">
            <v>STERTOOLS</v>
          </cell>
          <cell r="B1494">
            <v>20130</v>
          </cell>
        </row>
        <row r="1495">
          <cell r="A1495" t="str">
            <v>STINDIA</v>
          </cell>
          <cell r="B1495">
            <v>1110</v>
          </cell>
        </row>
        <row r="1496">
          <cell r="A1496" t="str">
            <v>STRTECH</v>
          </cell>
          <cell r="B1496">
            <v>1433733</v>
          </cell>
        </row>
        <row r="1497">
          <cell r="A1497" t="str">
            <v>SUBEX</v>
          </cell>
          <cell r="B1497">
            <v>712823</v>
          </cell>
        </row>
        <row r="1498">
          <cell r="A1498" t="str">
            <v>SUBROS</v>
          </cell>
          <cell r="B1498">
            <v>144308</v>
          </cell>
        </row>
        <row r="1499">
          <cell r="A1499" t="str">
            <v>SUDARSCHEM</v>
          </cell>
          <cell r="B1499">
            <v>207983</v>
          </cell>
        </row>
        <row r="1500">
          <cell r="A1500" t="str">
            <v>SUMEETINDS</v>
          </cell>
          <cell r="B1500">
            <v>89905</v>
          </cell>
        </row>
        <row r="1501">
          <cell r="A1501" t="str">
            <v>SUMICHEM</v>
          </cell>
          <cell r="B1501">
            <v>444531</v>
          </cell>
        </row>
        <row r="1502">
          <cell r="A1502" t="str">
            <v>SUMMITSEC</v>
          </cell>
          <cell r="B1502">
            <v>1208</v>
          </cell>
        </row>
        <row r="1503">
          <cell r="A1503" t="str">
            <v>SUNCLAYLTD</v>
          </cell>
          <cell r="B1503">
            <v>1866</v>
          </cell>
        </row>
        <row r="1504">
          <cell r="A1504" t="str">
            <v>SUNDARAM</v>
          </cell>
          <cell r="B1504">
            <v>361459</v>
          </cell>
        </row>
        <row r="1505">
          <cell r="A1505" t="str">
            <v>SUNDARMFIN</v>
          </cell>
          <cell r="B1505">
            <v>71485</v>
          </cell>
        </row>
        <row r="1506">
          <cell r="A1506" t="str">
            <v>SUNDARMHLD</v>
          </cell>
          <cell r="B1506">
            <v>13420</v>
          </cell>
        </row>
        <row r="1507">
          <cell r="A1507" t="str">
            <v>SUNDRMBRAK</v>
          </cell>
          <cell r="B1507">
            <v>6901</v>
          </cell>
        </row>
        <row r="1508">
          <cell r="A1508" t="str">
            <v>SUNDRMFAST</v>
          </cell>
          <cell r="B1508">
            <v>342546</v>
          </cell>
        </row>
        <row r="1509">
          <cell r="A1509" t="str">
            <v>SUNFLAG</v>
          </cell>
          <cell r="B1509">
            <v>407264</v>
          </cell>
        </row>
        <row r="1510">
          <cell r="A1510" t="str">
            <v>SUNPHARMA</v>
          </cell>
          <cell r="B1510">
            <v>18471937</v>
          </cell>
        </row>
        <row r="1511">
          <cell r="A1511" t="str">
            <v>SUNTECK</v>
          </cell>
          <cell r="B1511">
            <v>539215</v>
          </cell>
        </row>
        <row r="1512">
          <cell r="A1512" t="str">
            <v>SUNTV</v>
          </cell>
          <cell r="B1512">
            <v>2417645</v>
          </cell>
        </row>
        <row r="1513">
          <cell r="A1513" t="str">
            <v>SUPERHOUSE</v>
          </cell>
          <cell r="B1513">
            <v>98342</v>
          </cell>
        </row>
        <row r="1514">
          <cell r="A1514" t="str">
            <v>SUPPETRO</v>
          </cell>
          <cell r="B1514">
            <v>81761</v>
          </cell>
        </row>
        <row r="1515">
          <cell r="A1515" t="str">
            <v>SUPRAJIT</v>
          </cell>
          <cell r="B1515">
            <v>235016</v>
          </cell>
        </row>
        <row r="1516">
          <cell r="A1516" t="str">
            <v>SUPREMEENG</v>
          </cell>
          <cell r="B1516">
            <v>32000</v>
          </cell>
        </row>
        <row r="1517">
          <cell r="A1517" t="str">
            <v>SUPREMEIND</v>
          </cell>
          <cell r="B1517">
            <v>109994</v>
          </cell>
        </row>
        <row r="1518">
          <cell r="A1518" t="str">
            <v>SURANASOL</v>
          </cell>
          <cell r="B1518">
            <v>44096</v>
          </cell>
        </row>
        <row r="1519">
          <cell r="A1519" t="str">
            <v>SURANAT&amp;P</v>
          </cell>
          <cell r="B1519">
            <v>18435</v>
          </cell>
        </row>
        <row r="1520">
          <cell r="A1520" t="str">
            <v>SURYALAXMI</v>
          </cell>
          <cell r="B1520">
            <v>267411</v>
          </cell>
        </row>
        <row r="1521">
          <cell r="A1521" t="str">
            <v>SURYAROSNI</v>
          </cell>
          <cell r="B1521">
            <v>52080</v>
          </cell>
        </row>
        <row r="1522">
          <cell r="A1522" t="str">
            <v>SUTLEJTEX</v>
          </cell>
          <cell r="B1522">
            <v>8604</v>
          </cell>
        </row>
        <row r="1523">
          <cell r="A1523" t="str">
            <v>SUULD</v>
          </cell>
          <cell r="B1523">
            <v>16000</v>
          </cell>
        </row>
        <row r="1524">
          <cell r="A1524" t="str">
            <v>SUVEN</v>
          </cell>
          <cell r="B1524">
            <v>1791205</v>
          </cell>
        </row>
        <row r="1525">
          <cell r="A1525" t="str">
            <v>SUVENPHAR</v>
          </cell>
          <cell r="B1525">
            <v>375329</v>
          </cell>
        </row>
        <row r="1526">
          <cell r="A1526" t="str">
            <v>SUZLON</v>
          </cell>
          <cell r="B1526">
            <v>12697078</v>
          </cell>
        </row>
        <row r="1527">
          <cell r="A1527" t="str">
            <v>SWANENERGY</v>
          </cell>
          <cell r="B1527">
            <v>138170</v>
          </cell>
        </row>
        <row r="1528">
          <cell r="A1528" t="str">
            <v>SWARAJENG</v>
          </cell>
          <cell r="B1528">
            <v>1920</v>
          </cell>
        </row>
        <row r="1529">
          <cell r="A1529" t="str">
            <v>SWELECTES</v>
          </cell>
          <cell r="B1529">
            <v>3212</v>
          </cell>
        </row>
        <row r="1530">
          <cell r="A1530" t="str">
            <v>SWSOLAR</v>
          </cell>
          <cell r="B1530">
            <v>1047446</v>
          </cell>
        </row>
        <row r="1531">
          <cell r="A1531" t="str">
            <v>SYMPHONY</v>
          </cell>
          <cell r="B1531">
            <v>29278</v>
          </cell>
        </row>
        <row r="1532">
          <cell r="A1532" t="str">
            <v>SYNGENE</v>
          </cell>
          <cell r="B1532">
            <v>1290286</v>
          </cell>
        </row>
        <row r="1533">
          <cell r="A1533" t="str">
            <v>TAINWALCHM</v>
          </cell>
          <cell r="B1533">
            <v>4336</v>
          </cell>
        </row>
        <row r="1534">
          <cell r="A1534" t="str">
            <v>TAJGVK</v>
          </cell>
          <cell r="B1534">
            <v>55397</v>
          </cell>
        </row>
        <row r="1535">
          <cell r="A1535" t="str">
            <v>TAKE</v>
          </cell>
          <cell r="B1535">
            <v>95399</v>
          </cell>
        </row>
        <row r="1536">
          <cell r="A1536" t="str">
            <v>TALBROAUTO</v>
          </cell>
          <cell r="B1536">
            <v>78765</v>
          </cell>
        </row>
        <row r="1537">
          <cell r="A1537" t="str">
            <v>TANLA</v>
          </cell>
          <cell r="B1537">
            <v>172963</v>
          </cell>
        </row>
        <row r="1538">
          <cell r="A1538" t="str">
            <v>TARACHAND</v>
          </cell>
          <cell r="B1538">
            <v>6000</v>
          </cell>
        </row>
        <row r="1539">
          <cell r="A1539" t="str">
            <v>TARMAT</v>
          </cell>
          <cell r="B1539">
            <v>8672</v>
          </cell>
        </row>
        <row r="1540">
          <cell r="A1540" t="str">
            <v>TASTYBITE</v>
          </cell>
          <cell r="B1540">
            <v>1703</v>
          </cell>
        </row>
        <row r="1541">
          <cell r="A1541" t="str">
            <v>TATACHEM</v>
          </cell>
          <cell r="B1541">
            <v>1981296</v>
          </cell>
        </row>
        <row r="1542">
          <cell r="A1542" t="str">
            <v>TATACOFFEE</v>
          </cell>
          <cell r="B1542">
            <v>2689566</v>
          </cell>
        </row>
        <row r="1543">
          <cell r="A1543" t="str">
            <v>TATACOMM</v>
          </cell>
          <cell r="B1543">
            <v>175809</v>
          </cell>
        </row>
        <row r="1544">
          <cell r="A1544" t="str">
            <v>TATACONSUM</v>
          </cell>
          <cell r="B1544">
            <v>4760235</v>
          </cell>
        </row>
        <row r="1545">
          <cell r="A1545" t="str">
            <v>TATAELXSI</v>
          </cell>
          <cell r="B1545">
            <v>505620</v>
          </cell>
        </row>
        <row r="1546">
          <cell r="A1546" t="str">
            <v>TATAINVEST</v>
          </cell>
          <cell r="B1546">
            <v>32186</v>
          </cell>
        </row>
        <row r="1547">
          <cell r="A1547" t="str">
            <v>TATAMETALI</v>
          </cell>
          <cell r="B1547">
            <v>64647</v>
          </cell>
        </row>
        <row r="1548">
          <cell r="A1548" t="str">
            <v>TATAMOTORS</v>
          </cell>
          <cell r="B1548">
            <v>170645234</v>
          </cell>
        </row>
        <row r="1549">
          <cell r="A1549" t="str">
            <v>TATAMTRDVR</v>
          </cell>
          <cell r="B1549">
            <v>19526871</v>
          </cell>
        </row>
        <row r="1550">
          <cell r="A1550" t="str">
            <v>TATAPOWER</v>
          </cell>
          <cell r="B1550">
            <v>32596006</v>
          </cell>
        </row>
        <row r="1551">
          <cell r="A1551" t="str">
            <v>TATASTEEL</v>
          </cell>
          <cell r="B1551">
            <v>121700</v>
          </cell>
        </row>
        <row r="1552">
          <cell r="A1552" t="str">
            <v>TATASTEEL</v>
          </cell>
          <cell r="B1552">
            <v>23636082</v>
          </cell>
        </row>
        <row r="1553">
          <cell r="A1553" t="str">
            <v>TATASTLBSL</v>
          </cell>
          <cell r="B1553">
            <v>3629619</v>
          </cell>
        </row>
        <row r="1554">
          <cell r="A1554" t="str">
            <v>TATASTLLP</v>
          </cell>
          <cell r="B1554">
            <v>39202</v>
          </cell>
        </row>
        <row r="1555">
          <cell r="A1555" t="str">
            <v>TBZ</v>
          </cell>
          <cell r="B1555">
            <v>53529</v>
          </cell>
        </row>
        <row r="1556">
          <cell r="A1556" t="str">
            <v>TCFSL</v>
          </cell>
          <cell r="B1556">
            <v>581</v>
          </cell>
        </row>
        <row r="1557">
          <cell r="A1557" t="str">
            <v>TCFSL</v>
          </cell>
          <cell r="B1557">
            <v>1297</v>
          </cell>
        </row>
        <row r="1558">
          <cell r="A1558" t="str">
            <v>TCFSL</v>
          </cell>
          <cell r="B1558">
            <v>28</v>
          </cell>
        </row>
        <row r="1559">
          <cell r="A1559" t="str">
            <v>TCFSL</v>
          </cell>
          <cell r="B1559">
            <v>659</v>
          </cell>
        </row>
        <row r="1560">
          <cell r="A1560" t="str">
            <v>TCFSL</v>
          </cell>
          <cell r="B1560">
            <v>2974</v>
          </cell>
        </row>
        <row r="1561">
          <cell r="A1561" t="str">
            <v>TCFSL</v>
          </cell>
          <cell r="B1561">
            <v>29</v>
          </cell>
        </row>
        <row r="1562">
          <cell r="A1562" t="str">
            <v>TCFSL</v>
          </cell>
          <cell r="B1562">
            <v>4</v>
          </cell>
        </row>
        <row r="1563">
          <cell r="A1563" t="str">
            <v>TCI</v>
          </cell>
          <cell r="B1563">
            <v>61595</v>
          </cell>
        </row>
        <row r="1564">
          <cell r="A1564" t="str">
            <v>TCIDEVELOP</v>
          </cell>
          <cell r="B1564">
            <v>341</v>
          </cell>
        </row>
        <row r="1565">
          <cell r="A1565" t="str">
            <v>TCIEXP</v>
          </cell>
          <cell r="B1565">
            <v>50475</v>
          </cell>
        </row>
        <row r="1566">
          <cell r="A1566" t="str">
            <v>TCIFINANCE</v>
          </cell>
          <cell r="B1566">
            <v>11127</v>
          </cell>
        </row>
        <row r="1567">
          <cell r="A1567" t="str">
            <v>TCNSBRANDS</v>
          </cell>
          <cell r="B1567">
            <v>18582</v>
          </cell>
        </row>
        <row r="1568">
          <cell r="A1568" t="str">
            <v>TCPLPACK</v>
          </cell>
          <cell r="B1568">
            <v>27295</v>
          </cell>
        </row>
        <row r="1569">
          <cell r="A1569" t="str">
            <v>TCS</v>
          </cell>
          <cell r="B1569">
            <v>5915950</v>
          </cell>
        </row>
        <row r="1570">
          <cell r="A1570" t="str">
            <v>TDPOWERSYS</v>
          </cell>
          <cell r="B1570">
            <v>17515</v>
          </cell>
        </row>
        <row r="1571">
          <cell r="A1571" t="str">
            <v>TEAMLEASE</v>
          </cell>
          <cell r="B1571">
            <v>9187</v>
          </cell>
        </row>
        <row r="1572">
          <cell r="A1572" t="str">
            <v>TECHM</v>
          </cell>
          <cell r="B1572">
            <v>8932244</v>
          </cell>
        </row>
        <row r="1573">
          <cell r="A1573" t="str">
            <v>TECHNOE</v>
          </cell>
          <cell r="B1573">
            <v>12604</v>
          </cell>
        </row>
        <row r="1574">
          <cell r="A1574" t="str">
            <v>TECHNOFAB</v>
          </cell>
          <cell r="B1574">
            <v>45878</v>
          </cell>
        </row>
        <row r="1575">
          <cell r="A1575" t="str">
            <v>TERASOFT</v>
          </cell>
          <cell r="B1575">
            <v>27679</v>
          </cell>
        </row>
        <row r="1576">
          <cell r="A1576" t="str">
            <v>TEXINFRA</v>
          </cell>
          <cell r="B1576">
            <v>14178</v>
          </cell>
        </row>
        <row r="1577">
          <cell r="A1577" t="str">
            <v>TEXMOPIPES</v>
          </cell>
          <cell r="B1577">
            <v>17409</v>
          </cell>
        </row>
        <row r="1578">
          <cell r="A1578" t="str">
            <v>TEXRAIL</v>
          </cell>
          <cell r="B1578">
            <v>97858</v>
          </cell>
        </row>
        <row r="1579">
          <cell r="A1579" t="str">
            <v>TFCILTD</v>
          </cell>
          <cell r="B1579">
            <v>50346</v>
          </cell>
        </row>
        <row r="1580">
          <cell r="A1580" t="str">
            <v>TFL</v>
          </cell>
          <cell r="B1580">
            <v>1210</v>
          </cell>
        </row>
        <row r="1581">
          <cell r="A1581" t="str">
            <v>TGBHOTELS</v>
          </cell>
          <cell r="B1581">
            <v>5220</v>
          </cell>
        </row>
        <row r="1582">
          <cell r="A1582" t="str">
            <v>THANGAMAYL</v>
          </cell>
          <cell r="B1582">
            <v>10572</v>
          </cell>
        </row>
        <row r="1583">
          <cell r="A1583" t="str">
            <v>THEINVEST</v>
          </cell>
          <cell r="B1583">
            <v>1019</v>
          </cell>
        </row>
        <row r="1584">
          <cell r="A1584" t="str">
            <v>THEJO</v>
          </cell>
          <cell r="B1584">
            <v>1000</v>
          </cell>
        </row>
        <row r="1585">
          <cell r="A1585" t="str">
            <v>THERMAX</v>
          </cell>
          <cell r="B1585">
            <v>41202</v>
          </cell>
        </row>
        <row r="1586">
          <cell r="A1586" t="str">
            <v>THOMASCOOK</v>
          </cell>
          <cell r="B1586">
            <v>437876</v>
          </cell>
        </row>
        <row r="1587">
          <cell r="A1587" t="str">
            <v>THYROCARE</v>
          </cell>
          <cell r="B1587">
            <v>91436</v>
          </cell>
        </row>
        <row r="1588">
          <cell r="A1588" t="str">
            <v>TI</v>
          </cell>
          <cell r="B1588">
            <v>40182</v>
          </cell>
        </row>
        <row r="1589">
          <cell r="A1589" t="str">
            <v>TIDEWATER</v>
          </cell>
          <cell r="B1589">
            <v>4846</v>
          </cell>
        </row>
        <row r="1590">
          <cell r="A1590" t="str">
            <v>TIIL</v>
          </cell>
          <cell r="B1590">
            <v>7408</v>
          </cell>
        </row>
        <row r="1591">
          <cell r="A1591" t="str">
            <v>TIINDIA</v>
          </cell>
          <cell r="B1591">
            <v>146579</v>
          </cell>
        </row>
        <row r="1592">
          <cell r="A1592" t="str">
            <v>TIJARIA</v>
          </cell>
          <cell r="B1592">
            <v>13913</v>
          </cell>
        </row>
        <row r="1593">
          <cell r="A1593" t="str">
            <v>TIL</v>
          </cell>
          <cell r="B1593">
            <v>8102</v>
          </cell>
        </row>
        <row r="1594">
          <cell r="A1594" t="str">
            <v>TIMESGTY</v>
          </cell>
          <cell r="B1594">
            <v>3497</v>
          </cell>
        </row>
        <row r="1595">
          <cell r="A1595" t="str">
            <v>TIMETECHNO</v>
          </cell>
          <cell r="B1595">
            <v>217480</v>
          </cell>
        </row>
        <row r="1596">
          <cell r="A1596" t="str">
            <v>TIMKEN</v>
          </cell>
          <cell r="B1596">
            <v>33530</v>
          </cell>
        </row>
        <row r="1597">
          <cell r="A1597" t="str">
            <v>TINPLATE</v>
          </cell>
          <cell r="B1597">
            <v>341378</v>
          </cell>
        </row>
        <row r="1598">
          <cell r="A1598" t="str">
            <v>TIPSINDLTD</v>
          </cell>
          <cell r="B1598">
            <v>1815</v>
          </cell>
        </row>
        <row r="1599">
          <cell r="A1599" t="str">
            <v>TIRUMALCHM</v>
          </cell>
          <cell r="B1599">
            <v>174844</v>
          </cell>
        </row>
        <row r="1600">
          <cell r="A1600" t="str">
            <v>TITAN</v>
          </cell>
          <cell r="B1600">
            <v>4336428</v>
          </cell>
        </row>
        <row r="1601">
          <cell r="A1601" t="str">
            <v>TNPETRO</v>
          </cell>
          <cell r="B1601">
            <v>77797</v>
          </cell>
        </row>
        <row r="1602">
          <cell r="A1602" t="str">
            <v>TNPL</v>
          </cell>
          <cell r="B1602">
            <v>1017253</v>
          </cell>
        </row>
        <row r="1603">
          <cell r="A1603" t="str">
            <v>TOKYOPLAST</v>
          </cell>
          <cell r="B1603">
            <v>3261</v>
          </cell>
        </row>
        <row r="1604">
          <cell r="A1604" t="str">
            <v>TORNTPHARM</v>
          </cell>
          <cell r="B1604">
            <v>711473</v>
          </cell>
        </row>
        <row r="1605">
          <cell r="A1605" t="str">
            <v>TORNTPOWER</v>
          </cell>
          <cell r="B1605">
            <v>1555954</v>
          </cell>
        </row>
        <row r="1606">
          <cell r="A1606" t="str">
            <v>TOUCHWOOD</v>
          </cell>
          <cell r="B1606">
            <v>9812</v>
          </cell>
        </row>
        <row r="1607">
          <cell r="A1607" t="str">
            <v>TPLPLASTEH</v>
          </cell>
          <cell r="B1607">
            <v>11792</v>
          </cell>
        </row>
        <row r="1608">
          <cell r="A1608" t="str">
            <v>TRANSWIND</v>
          </cell>
          <cell r="B1608">
            <v>4000</v>
          </cell>
        </row>
        <row r="1609">
          <cell r="A1609" t="str">
            <v>TREEHOUSE</v>
          </cell>
          <cell r="B1609">
            <v>71480</v>
          </cell>
        </row>
        <row r="1610">
          <cell r="A1610" t="str">
            <v>TRENT</v>
          </cell>
          <cell r="B1610">
            <v>935900</v>
          </cell>
        </row>
        <row r="1611">
          <cell r="A1611" t="str">
            <v>TRIDENT</v>
          </cell>
          <cell r="B1611">
            <v>6439969</v>
          </cell>
        </row>
        <row r="1612">
          <cell r="A1612" t="str">
            <v>TRIGYN</v>
          </cell>
          <cell r="B1612">
            <v>60877</v>
          </cell>
        </row>
        <row r="1613">
          <cell r="A1613" t="str">
            <v>TRIL</v>
          </cell>
          <cell r="B1613">
            <v>153472</v>
          </cell>
        </row>
        <row r="1614">
          <cell r="A1614" t="str">
            <v>TRITURBINE</v>
          </cell>
          <cell r="B1614">
            <v>1096832</v>
          </cell>
        </row>
        <row r="1615">
          <cell r="A1615" t="str">
            <v>TRIVENI</v>
          </cell>
          <cell r="B1615">
            <v>514294</v>
          </cell>
        </row>
        <row r="1616">
          <cell r="A1616" t="str">
            <v>TTKHLTCARE</v>
          </cell>
          <cell r="B1616">
            <v>6597</v>
          </cell>
        </row>
        <row r="1617">
          <cell r="A1617" t="str">
            <v>TTKPRESTIG</v>
          </cell>
          <cell r="B1617">
            <v>7402</v>
          </cell>
        </row>
        <row r="1618">
          <cell r="A1618" t="str">
            <v>TTL</v>
          </cell>
          <cell r="B1618">
            <v>15176</v>
          </cell>
        </row>
        <row r="1619">
          <cell r="A1619" t="str">
            <v>TV18BRDCST</v>
          </cell>
          <cell r="B1619">
            <v>3849824</v>
          </cell>
        </row>
        <row r="1620">
          <cell r="A1620" t="str">
            <v>TVSELECT</v>
          </cell>
          <cell r="B1620">
            <v>27771</v>
          </cell>
        </row>
        <row r="1621">
          <cell r="A1621" t="str">
            <v>TVSMOTOR</v>
          </cell>
          <cell r="B1621">
            <v>8220150</v>
          </cell>
        </row>
        <row r="1622">
          <cell r="A1622" t="str">
            <v>TVSSRICHAK</v>
          </cell>
          <cell r="B1622">
            <v>9142</v>
          </cell>
        </row>
        <row r="1623">
          <cell r="A1623" t="str">
            <v>TVTODAY</v>
          </cell>
          <cell r="B1623">
            <v>37357</v>
          </cell>
        </row>
        <row r="1624">
          <cell r="A1624" t="str">
            <v>TWL</v>
          </cell>
          <cell r="B1624">
            <v>209745</v>
          </cell>
        </row>
        <row r="1625">
          <cell r="A1625" t="str">
            <v>UBL</v>
          </cell>
          <cell r="B1625">
            <v>499712</v>
          </cell>
        </row>
        <row r="1626">
          <cell r="A1626" t="str">
            <v>UBSG1GPD</v>
          </cell>
          <cell r="B1626">
            <v>21944</v>
          </cell>
        </row>
        <row r="1627">
          <cell r="A1627" t="str">
            <v>UCALFUEL</v>
          </cell>
          <cell r="B1627">
            <v>65001</v>
          </cell>
        </row>
        <row r="1628">
          <cell r="A1628" t="str">
            <v>UCOBANK</v>
          </cell>
          <cell r="B1628">
            <v>1238754</v>
          </cell>
        </row>
        <row r="1629">
          <cell r="A1629" t="str">
            <v>UFLEX</v>
          </cell>
          <cell r="B1629">
            <v>216322</v>
          </cell>
        </row>
        <row r="1630">
          <cell r="A1630" t="str">
            <v>UFO</v>
          </cell>
          <cell r="B1630">
            <v>86661</v>
          </cell>
        </row>
        <row r="1631">
          <cell r="A1631" t="str">
            <v>UGARSUGAR</v>
          </cell>
          <cell r="B1631">
            <v>82193</v>
          </cell>
        </row>
        <row r="1632">
          <cell r="A1632" t="str">
            <v>UJAAS</v>
          </cell>
          <cell r="B1632">
            <v>435198</v>
          </cell>
        </row>
        <row r="1633">
          <cell r="A1633" t="str">
            <v>UJJIVAN</v>
          </cell>
          <cell r="B1633">
            <v>4523168</v>
          </cell>
        </row>
        <row r="1634">
          <cell r="A1634" t="str">
            <v>UJJIVANSFB</v>
          </cell>
          <cell r="B1634">
            <v>1381537</v>
          </cell>
        </row>
        <row r="1635">
          <cell r="A1635" t="str">
            <v>ULTRACEMCO</v>
          </cell>
          <cell r="B1635">
            <v>854108</v>
          </cell>
        </row>
        <row r="1636">
          <cell r="A1636" t="str">
            <v>UMANGDAIRY</v>
          </cell>
          <cell r="B1636">
            <v>24151</v>
          </cell>
        </row>
        <row r="1637">
          <cell r="A1637" t="str">
            <v>UNICHEMLAB</v>
          </cell>
          <cell r="B1637">
            <v>21914</v>
          </cell>
        </row>
        <row r="1638">
          <cell r="A1638" t="str">
            <v>UNIENTER</v>
          </cell>
          <cell r="B1638">
            <v>13389</v>
          </cell>
        </row>
        <row r="1639">
          <cell r="A1639" t="str">
            <v>UNIINFO</v>
          </cell>
          <cell r="B1639">
            <v>28000</v>
          </cell>
        </row>
        <row r="1640">
          <cell r="A1640" t="str">
            <v>UNIONBANK</v>
          </cell>
          <cell r="B1640">
            <v>4765418</v>
          </cell>
        </row>
        <row r="1641">
          <cell r="A1641" t="str">
            <v>UNIPLY</v>
          </cell>
          <cell r="B1641">
            <v>371033</v>
          </cell>
        </row>
        <row r="1642">
          <cell r="A1642" t="str">
            <v>UNITEDTEA</v>
          </cell>
          <cell r="B1642">
            <v>1219</v>
          </cell>
        </row>
        <row r="1643">
          <cell r="A1643" t="str">
            <v>UNIVCABLES</v>
          </cell>
          <cell r="B1643">
            <v>45238</v>
          </cell>
        </row>
        <row r="1644">
          <cell r="A1644" t="str">
            <v>UNIVPHOTO</v>
          </cell>
          <cell r="B1644">
            <v>2141</v>
          </cell>
        </row>
        <row r="1645">
          <cell r="A1645" t="str">
            <v>UPL</v>
          </cell>
          <cell r="B1645">
            <v>18224218</v>
          </cell>
        </row>
        <row r="1646">
          <cell r="A1646" t="str">
            <v>URAVI</v>
          </cell>
          <cell r="B1646">
            <v>1200</v>
          </cell>
        </row>
        <row r="1647">
          <cell r="A1647" t="str">
            <v>USHAMART</v>
          </cell>
          <cell r="B1647">
            <v>237914</v>
          </cell>
        </row>
        <row r="1648">
          <cell r="A1648" t="str">
            <v>UTINEXT50</v>
          </cell>
          <cell r="B1648">
            <v>444</v>
          </cell>
        </row>
        <row r="1649">
          <cell r="A1649" t="str">
            <v>UTINIFTETF</v>
          </cell>
          <cell r="B1649">
            <v>3600</v>
          </cell>
        </row>
        <row r="1650">
          <cell r="A1650" t="str">
            <v>UTISENSETF</v>
          </cell>
          <cell r="B1650">
            <v>932</v>
          </cell>
        </row>
        <row r="1651">
          <cell r="A1651" t="str">
            <v>UTISXN50</v>
          </cell>
          <cell r="B1651">
            <v>147</v>
          </cell>
        </row>
        <row r="1652">
          <cell r="A1652" t="str">
            <v>UTTAMSUGAR</v>
          </cell>
          <cell r="B1652">
            <v>22277</v>
          </cell>
        </row>
        <row r="1653">
          <cell r="A1653" t="str">
            <v>V2RETAIL</v>
          </cell>
          <cell r="B1653">
            <v>55895</v>
          </cell>
        </row>
        <row r="1654">
          <cell r="A1654" t="str">
            <v>VADILALIND</v>
          </cell>
          <cell r="B1654">
            <v>5131</v>
          </cell>
        </row>
        <row r="1655">
          <cell r="A1655" t="str">
            <v>VAIBHAVGBL</v>
          </cell>
          <cell r="B1655">
            <v>11733</v>
          </cell>
        </row>
        <row r="1656">
          <cell r="A1656" t="str">
            <v>VAISHALI</v>
          </cell>
          <cell r="B1656">
            <v>43255</v>
          </cell>
        </row>
        <row r="1657">
          <cell r="A1657" t="str">
            <v>VAKRANGEE</v>
          </cell>
          <cell r="B1657">
            <v>2467822</v>
          </cell>
        </row>
        <row r="1658">
          <cell r="A1658" t="str">
            <v>VARDHACRLC</v>
          </cell>
          <cell r="B1658">
            <v>6790</v>
          </cell>
        </row>
        <row r="1659">
          <cell r="A1659" t="str">
            <v>VARROC</v>
          </cell>
          <cell r="B1659">
            <v>128965</v>
          </cell>
        </row>
        <row r="1660">
          <cell r="A1660" t="str">
            <v>VASCONEQ</v>
          </cell>
          <cell r="B1660">
            <v>147995</v>
          </cell>
        </row>
        <row r="1661">
          <cell r="A1661" t="str">
            <v>VASWANI</v>
          </cell>
          <cell r="B1661">
            <v>5062</v>
          </cell>
        </row>
        <row r="1662">
          <cell r="A1662" t="str">
            <v>VBL</v>
          </cell>
          <cell r="B1662">
            <v>288102</v>
          </cell>
        </row>
        <row r="1663">
          <cell r="A1663" t="str">
            <v>VEDL</v>
          </cell>
          <cell r="B1663">
            <v>63687038</v>
          </cell>
        </row>
        <row r="1664">
          <cell r="A1664" t="str">
            <v>VENKEYS</v>
          </cell>
          <cell r="B1664">
            <v>57528</v>
          </cell>
        </row>
        <row r="1665">
          <cell r="A1665" t="str">
            <v>VENUSREM</v>
          </cell>
          <cell r="B1665">
            <v>23206</v>
          </cell>
        </row>
        <row r="1666">
          <cell r="A1666" t="str">
            <v>VERA</v>
          </cell>
          <cell r="B1666">
            <v>1500</v>
          </cell>
        </row>
        <row r="1667">
          <cell r="A1667" t="str">
            <v>VERTOZ</v>
          </cell>
          <cell r="B1667">
            <v>24000</v>
          </cell>
        </row>
        <row r="1668">
          <cell r="A1668" t="str">
            <v>VESUVIUS</v>
          </cell>
          <cell r="B1668">
            <v>5313</v>
          </cell>
        </row>
        <row r="1669">
          <cell r="A1669" t="str">
            <v>VETO</v>
          </cell>
          <cell r="B1669">
            <v>9368</v>
          </cell>
        </row>
        <row r="1670">
          <cell r="A1670" t="str">
            <v>VGUARD</v>
          </cell>
          <cell r="B1670">
            <v>381264</v>
          </cell>
        </row>
        <row r="1671">
          <cell r="A1671" t="str">
            <v>VHL</v>
          </cell>
          <cell r="B1671">
            <v>343</v>
          </cell>
        </row>
        <row r="1672">
          <cell r="A1672" t="str">
            <v>VIDHIING</v>
          </cell>
          <cell r="B1672">
            <v>49306</v>
          </cell>
        </row>
        <row r="1673">
          <cell r="A1673" t="str">
            <v>VIJIFIN</v>
          </cell>
          <cell r="B1673">
            <v>163064</v>
          </cell>
        </row>
        <row r="1674">
          <cell r="A1674" t="str">
            <v>VIKASECO</v>
          </cell>
          <cell r="B1674">
            <v>32059</v>
          </cell>
        </row>
        <row r="1675">
          <cell r="A1675" t="str">
            <v>VIKASMCORP</v>
          </cell>
          <cell r="B1675">
            <v>29250</v>
          </cell>
        </row>
        <row r="1676">
          <cell r="A1676" t="str">
            <v>VIKASPROP</v>
          </cell>
          <cell r="B1676">
            <v>227155</v>
          </cell>
        </row>
        <row r="1677">
          <cell r="A1677" t="str">
            <v>VIKASWSP</v>
          </cell>
          <cell r="B1677">
            <v>210154</v>
          </cell>
        </row>
        <row r="1678">
          <cell r="A1678" t="str">
            <v>VIMTALABS</v>
          </cell>
          <cell r="B1678">
            <v>42080</v>
          </cell>
        </row>
        <row r="1679">
          <cell r="A1679" t="str">
            <v>VINATIORGA</v>
          </cell>
          <cell r="B1679">
            <v>113367</v>
          </cell>
        </row>
        <row r="1680">
          <cell r="A1680" t="str">
            <v>VINDHYATEL</v>
          </cell>
          <cell r="B1680">
            <v>20421</v>
          </cell>
        </row>
        <row r="1681">
          <cell r="A1681" t="str">
            <v>VINYLINDIA</v>
          </cell>
          <cell r="B1681">
            <v>80464</v>
          </cell>
        </row>
        <row r="1682">
          <cell r="A1682" t="str">
            <v>VIPCLOTHNG</v>
          </cell>
          <cell r="B1682">
            <v>98108</v>
          </cell>
        </row>
        <row r="1683">
          <cell r="A1683" t="str">
            <v>VIPIND</v>
          </cell>
          <cell r="B1683">
            <v>429015</v>
          </cell>
        </row>
        <row r="1684">
          <cell r="A1684" t="str">
            <v>VIPULLTD</v>
          </cell>
          <cell r="B1684">
            <v>1570</v>
          </cell>
        </row>
        <row r="1685">
          <cell r="A1685" t="str">
            <v>VISAKAIND</v>
          </cell>
          <cell r="B1685">
            <v>15492</v>
          </cell>
        </row>
        <row r="1686">
          <cell r="A1686" t="str">
            <v>VISHNU</v>
          </cell>
          <cell r="B1686">
            <v>23316</v>
          </cell>
        </row>
        <row r="1687">
          <cell r="A1687" t="str">
            <v>VISHWARAJ</v>
          </cell>
          <cell r="B1687">
            <v>7159</v>
          </cell>
        </row>
        <row r="1688">
          <cell r="A1688" t="str">
            <v>VIVIDHA</v>
          </cell>
          <cell r="B1688">
            <v>34372</v>
          </cell>
        </row>
        <row r="1689">
          <cell r="A1689" t="str">
            <v>VLSFINANCE</v>
          </cell>
          <cell r="B1689">
            <v>60817</v>
          </cell>
        </row>
        <row r="1690">
          <cell r="A1690" t="str">
            <v>VMART</v>
          </cell>
          <cell r="B1690">
            <v>8757</v>
          </cell>
        </row>
        <row r="1691">
          <cell r="A1691" t="str">
            <v>VOLTAMP</v>
          </cell>
          <cell r="B1691">
            <v>6024</v>
          </cell>
        </row>
        <row r="1692">
          <cell r="A1692" t="str">
            <v>VOLTAS</v>
          </cell>
          <cell r="B1692">
            <v>2950356</v>
          </cell>
        </row>
        <row r="1693">
          <cell r="A1693" t="str">
            <v>VRLLOG</v>
          </cell>
          <cell r="B1693">
            <v>117414</v>
          </cell>
        </row>
        <row r="1694">
          <cell r="A1694" t="str">
            <v>VSSL</v>
          </cell>
          <cell r="B1694">
            <v>12016</v>
          </cell>
        </row>
        <row r="1695">
          <cell r="A1695" t="str">
            <v>VSTIND</v>
          </cell>
          <cell r="B1695">
            <v>18876</v>
          </cell>
        </row>
        <row r="1696">
          <cell r="A1696" t="str">
            <v>VSTTILLERS</v>
          </cell>
          <cell r="B1696">
            <v>9259</v>
          </cell>
        </row>
        <row r="1697">
          <cell r="A1697" t="str">
            <v>VTL</v>
          </cell>
          <cell r="B1697">
            <v>39167</v>
          </cell>
        </row>
        <row r="1698">
          <cell r="A1698" t="str">
            <v>WABAG</v>
          </cell>
          <cell r="B1698">
            <v>678254</v>
          </cell>
        </row>
        <row r="1699">
          <cell r="A1699" t="str">
            <v>WABCOINDIA</v>
          </cell>
          <cell r="B1699">
            <v>13895</v>
          </cell>
        </row>
        <row r="1700">
          <cell r="A1700" t="str">
            <v>WATERBASE</v>
          </cell>
          <cell r="B1700">
            <v>141395</v>
          </cell>
        </row>
        <row r="1701">
          <cell r="A1701" t="str">
            <v>WEIZMANIND</v>
          </cell>
          <cell r="B1701">
            <v>17126</v>
          </cell>
        </row>
        <row r="1702">
          <cell r="A1702" t="str">
            <v>WELCORP</v>
          </cell>
          <cell r="B1702">
            <v>910139</v>
          </cell>
        </row>
        <row r="1703">
          <cell r="A1703" t="str">
            <v>WELENT</v>
          </cell>
          <cell r="B1703">
            <v>109573</v>
          </cell>
        </row>
        <row r="1704">
          <cell r="A1704" t="str">
            <v>WELINV</v>
          </cell>
          <cell r="B1704">
            <v>45</v>
          </cell>
        </row>
        <row r="1705">
          <cell r="A1705" t="str">
            <v>WELSPUNIND</v>
          </cell>
          <cell r="B1705">
            <v>621259</v>
          </cell>
        </row>
        <row r="1706">
          <cell r="A1706" t="str">
            <v>WENDT</v>
          </cell>
          <cell r="B1706">
            <v>389</v>
          </cell>
        </row>
        <row r="1707">
          <cell r="A1707" t="str">
            <v>WESTLIFE</v>
          </cell>
          <cell r="B1707">
            <v>1026461</v>
          </cell>
        </row>
        <row r="1708">
          <cell r="A1708" t="str">
            <v>WHEELS</v>
          </cell>
          <cell r="B1708">
            <v>4658</v>
          </cell>
        </row>
        <row r="1709">
          <cell r="A1709" t="str">
            <v>WHIRLPOOL</v>
          </cell>
          <cell r="B1709">
            <v>68464</v>
          </cell>
        </row>
        <row r="1710">
          <cell r="A1710" t="str">
            <v>WILLAMAGOR</v>
          </cell>
          <cell r="B1710">
            <v>5625</v>
          </cell>
        </row>
        <row r="1711">
          <cell r="A1711" t="str">
            <v>WIPRO</v>
          </cell>
          <cell r="B1711">
            <v>8833932</v>
          </cell>
        </row>
        <row r="1712">
          <cell r="A1712" t="str">
            <v>WOCKPHARMA</v>
          </cell>
          <cell r="B1712">
            <v>366901</v>
          </cell>
        </row>
        <row r="1713">
          <cell r="A1713" t="str">
            <v>WONDERLA</v>
          </cell>
          <cell r="B1713">
            <v>179382</v>
          </cell>
        </row>
        <row r="1714">
          <cell r="A1714" t="str">
            <v>WORTH</v>
          </cell>
          <cell r="B1714">
            <v>3000</v>
          </cell>
        </row>
        <row r="1715">
          <cell r="A1715" t="str">
            <v>WSTCSTPAPR</v>
          </cell>
          <cell r="B1715">
            <v>49758</v>
          </cell>
        </row>
        <row r="1716">
          <cell r="A1716" t="str">
            <v>XCHANGING</v>
          </cell>
          <cell r="B1716">
            <v>69763</v>
          </cell>
        </row>
        <row r="1717">
          <cell r="A1717" t="str">
            <v>XELPMOC</v>
          </cell>
          <cell r="B1717">
            <v>2857</v>
          </cell>
        </row>
        <row r="1718">
          <cell r="A1718" t="str">
            <v>XPROINDIA</v>
          </cell>
          <cell r="B1718">
            <v>5357</v>
          </cell>
        </row>
        <row r="1719">
          <cell r="A1719" t="str">
            <v>YESBANK</v>
          </cell>
          <cell r="B1719">
            <v>32094929</v>
          </cell>
        </row>
        <row r="1720">
          <cell r="A1720" t="str">
            <v>ZEEL</v>
          </cell>
          <cell r="B1720">
            <v>14614588</v>
          </cell>
        </row>
        <row r="1721">
          <cell r="A1721" t="str">
            <v>ZEEL</v>
          </cell>
          <cell r="B1721">
            <v>281570</v>
          </cell>
        </row>
        <row r="1722">
          <cell r="A1722" t="str">
            <v>ZEELEARN</v>
          </cell>
          <cell r="B1722">
            <v>354021</v>
          </cell>
        </row>
        <row r="1723">
          <cell r="A1723" t="str">
            <v>ZENITHEXPO</v>
          </cell>
          <cell r="B1723">
            <v>450</v>
          </cell>
        </row>
        <row r="1724">
          <cell r="A1724" t="str">
            <v>ZENSARTECH</v>
          </cell>
          <cell r="B1724">
            <v>100764</v>
          </cell>
        </row>
        <row r="1725">
          <cell r="A1725" t="str">
            <v>ZENTEC</v>
          </cell>
          <cell r="B1725">
            <v>81184</v>
          </cell>
        </row>
        <row r="1726">
          <cell r="A1726" t="str">
            <v>ZICOM</v>
          </cell>
          <cell r="B1726">
            <v>21389</v>
          </cell>
        </row>
        <row r="1727">
          <cell r="A1727" t="str">
            <v>ZODIAC</v>
          </cell>
          <cell r="B1727">
            <v>2000</v>
          </cell>
        </row>
        <row r="1728">
          <cell r="A1728" t="str">
            <v>ZODIACLOTH</v>
          </cell>
          <cell r="B1728">
            <v>6400</v>
          </cell>
        </row>
        <row r="1729">
          <cell r="A1729" t="str">
            <v>ZODJRDMKJ</v>
          </cell>
          <cell r="B1729">
            <v>5968</v>
          </cell>
        </row>
        <row r="1730">
          <cell r="A1730" t="str">
            <v>ZOTA</v>
          </cell>
          <cell r="B1730">
            <v>13378</v>
          </cell>
        </row>
        <row r="1731">
          <cell r="A1731" t="str">
            <v>ZUARIGLOB</v>
          </cell>
          <cell r="B1731">
            <v>33112</v>
          </cell>
        </row>
        <row r="1732">
          <cell r="A1732" t="str">
            <v>ZYDUSWELL</v>
          </cell>
          <cell r="B1732">
            <v>28204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I213"/>
  <sheetViews>
    <sheetView tabSelected="1" zoomScale="80" zoomScaleNormal="80" workbookViewId="0">
      <selection activeCell="Z6" sqref="Z6"/>
    </sheetView>
  </sheetViews>
  <sheetFormatPr defaultRowHeight="15" x14ac:dyDescent="0.25"/>
  <cols>
    <col min="1" max="1" width="13.28515625" style="2" customWidth="1"/>
    <col min="2" max="2" width="7.85546875" bestFit="1" customWidth="1"/>
    <col min="3" max="3" width="3.42578125" hidden="1" customWidth="1"/>
    <col min="4" max="4" width="7" bestFit="1" customWidth="1"/>
    <col min="5" max="5" width="8.42578125" bestFit="1" customWidth="1"/>
    <col min="6" max="6" width="7.7109375" bestFit="1" customWidth="1"/>
    <col min="7" max="7" width="7.7109375" customWidth="1"/>
    <col min="8" max="8" width="7.7109375" bestFit="1" customWidth="1"/>
    <col min="9" max="10" width="7.7109375" hidden="1" customWidth="1"/>
    <col min="11" max="11" width="8.7109375" bestFit="1" customWidth="1"/>
    <col min="12" max="12" width="6.7109375" bestFit="1" customWidth="1"/>
    <col min="13" max="13" width="8.28515625" bestFit="1" customWidth="1"/>
    <col min="14" max="15" width="8" bestFit="1" customWidth="1"/>
    <col min="16" max="16" width="8.28515625" hidden="1" customWidth="1"/>
    <col min="17" max="17" width="7.5703125" hidden="1" customWidth="1"/>
    <col min="18" max="18" width="7" bestFit="1" customWidth="1"/>
    <col min="19" max="19" width="7.28515625" bestFit="1" customWidth="1"/>
    <col min="20" max="21" width="9.85546875" bestFit="1" customWidth="1"/>
    <col min="22" max="22" width="10" bestFit="1" customWidth="1"/>
    <col min="23" max="23" width="9.7109375" hidden="1" customWidth="1"/>
    <col min="24" max="24" width="10.5703125" hidden="1" customWidth="1"/>
    <col min="25" max="25" width="7" bestFit="1" customWidth="1"/>
    <col min="26" max="26" width="6.42578125" bestFit="1" customWidth="1"/>
    <col min="27" max="27" width="10.5703125" bestFit="1" customWidth="1"/>
    <col min="28" max="28" width="9.5703125" customWidth="1"/>
    <col min="32" max="33" width="9.140625" customWidth="1"/>
    <col min="34" max="34" width="5.7109375" bestFit="1" customWidth="1"/>
    <col min="35" max="35" width="6.42578125" bestFit="1" customWidth="1"/>
  </cols>
  <sheetData>
    <row r="2" spans="1:35" x14ac:dyDescent="0.25">
      <c r="A2" s="12" t="s">
        <v>0</v>
      </c>
      <c r="B2" s="13" t="s">
        <v>54</v>
      </c>
      <c r="C2" s="13" t="s">
        <v>56</v>
      </c>
      <c r="D2" s="13" t="s">
        <v>236</v>
      </c>
      <c r="E2" s="13" t="s">
        <v>230</v>
      </c>
      <c r="F2" s="13" t="s">
        <v>218</v>
      </c>
      <c r="G2" s="13" t="s">
        <v>231</v>
      </c>
      <c r="H2" s="13" t="s">
        <v>231</v>
      </c>
      <c r="I2" s="13" t="s">
        <v>216</v>
      </c>
      <c r="J2" s="13" t="s">
        <v>217</v>
      </c>
      <c r="K2" s="13" t="s">
        <v>219</v>
      </c>
      <c r="L2" s="13" t="s">
        <v>220</v>
      </c>
      <c r="M2" s="13" t="s">
        <v>229</v>
      </c>
      <c r="N2" s="13" t="s">
        <v>238</v>
      </c>
      <c r="O2" s="13" t="s">
        <v>237</v>
      </c>
      <c r="P2" s="13" t="s">
        <v>216</v>
      </c>
      <c r="Q2" s="13" t="s">
        <v>217</v>
      </c>
      <c r="R2" s="13" t="s">
        <v>219</v>
      </c>
      <c r="S2" s="13" t="s">
        <v>220</v>
      </c>
      <c r="T2" s="13" t="s">
        <v>221</v>
      </c>
      <c r="U2" s="13" t="s">
        <v>222</v>
      </c>
      <c r="V2" s="13" t="s">
        <v>223</v>
      </c>
      <c r="W2" s="14" t="s">
        <v>216</v>
      </c>
      <c r="X2" s="14" t="s">
        <v>217</v>
      </c>
      <c r="Y2" s="13" t="s">
        <v>219</v>
      </c>
      <c r="Z2" s="13" t="s">
        <v>220</v>
      </c>
      <c r="AA2" s="13" t="s">
        <v>224</v>
      </c>
      <c r="AB2" s="13" t="s">
        <v>225</v>
      </c>
      <c r="AC2" s="13" t="s">
        <v>226</v>
      </c>
      <c r="AD2" s="13" t="s">
        <v>227</v>
      </c>
      <c r="AE2" s="13" t="s">
        <v>228</v>
      </c>
      <c r="AF2" s="13" t="s">
        <v>216</v>
      </c>
      <c r="AG2" s="13" t="s">
        <v>217</v>
      </c>
      <c r="AH2" s="13" t="s">
        <v>219</v>
      </c>
      <c r="AI2" s="13" t="s">
        <v>220</v>
      </c>
    </row>
    <row r="3" spans="1:35" x14ac:dyDescent="0.25">
      <c r="A3" s="2" t="s">
        <v>2</v>
      </c>
      <c r="B3" t="s">
        <v>52</v>
      </c>
      <c r="C3" t="e">
        <f>VLOOKUP(A3,[1]FO!$A$2:$A$69,2,0)</f>
        <v>#REF!</v>
      </c>
      <c r="D3" s="4">
        <v>17.95</v>
      </c>
      <c r="E3" s="10">
        <v>3</v>
      </c>
      <c r="G3" t="s">
        <v>232</v>
      </c>
      <c r="H3" s="1">
        <v>65200</v>
      </c>
      <c r="I3" s="6" t="e">
        <f>G3-F3</f>
        <v>#VALUE!</v>
      </c>
      <c r="J3" s="6" t="e">
        <f>H3-G3</f>
        <v>#VALUE!</v>
      </c>
      <c r="K3" s="5" t="e">
        <f t="shared" ref="K3:K66" si="0">I3/F3</f>
        <v>#VALUE!</v>
      </c>
      <c r="L3" s="5" t="e">
        <f t="shared" ref="L3:L66" si="1">J3/G3</f>
        <v>#VALUE!</v>
      </c>
      <c r="M3" s="3"/>
      <c r="N3" s="3">
        <v>296</v>
      </c>
      <c r="O3" s="11">
        <v>46.75</v>
      </c>
      <c r="P3" s="7">
        <f>N3-M3</f>
        <v>296</v>
      </c>
      <c r="Q3" s="7">
        <f>O3-N3</f>
        <v>-249.25</v>
      </c>
      <c r="R3" s="5" t="e">
        <f t="shared" ref="R3:R66" si="2">P3/M3</f>
        <v>#DIV/0!</v>
      </c>
      <c r="S3" s="5">
        <f t="shared" ref="S3:S66" si="3">Q3/N3</f>
        <v>-0.84206081081081086</v>
      </c>
      <c r="U3">
        <v>659309</v>
      </c>
      <c r="V3" s="1">
        <f>VLOOKUP(A3,[2]Sheet1!$A:$B,2,0)</f>
        <v>4675412</v>
      </c>
      <c r="W3" s="6">
        <f>U3-T3</f>
        <v>659309</v>
      </c>
      <c r="X3" s="6">
        <f>V3-U3</f>
        <v>4016103</v>
      </c>
      <c r="Y3" s="5" t="e">
        <f t="shared" ref="Y3:Y66" si="4">W3/T3</f>
        <v>#DIV/0!</v>
      </c>
      <c r="Z3" s="5">
        <f t="shared" ref="Z3:Z66" si="5">X3/U3</f>
        <v>6.0913820378608516</v>
      </c>
      <c r="AA3" s="9">
        <v>-6732500</v>
      </c>
      <c r="AB3" s="10">
        <v>-2835000</v>
      </c>
      <c r="AD3">
        <v>3732</v>
      </c>
      <c r="AE3" s="1">
        <v>1935</v>
      </c>
      <c r="AF3" s="6">
        <f>AD3-AC3</f>
        <v>3732</v>
      </c>
      <c r="AG3" s="6">
        <f>AE3-AD3</f>
        <v>-1797</v>
      </c>
      <c r="AH3" s="5" t="e">
        <f>AF3/AC3</f>
        <v>#DIV/0!</v>
      </c>
      <c r="AI3" s="5">
        <f>AG3/AD3</f>
        <v>-0.48151125401929262</v>
      </c>
    </row>
    <row r="4" spans="1:35" x14ac:dyDescent="0.25">
      <c r="A4" s="2" t="s">
        <v>3</v>
      </c>
      <c r="B4" t="s">
        <v>52</v>
      </c>
      <c r="C4" t="e">
        <f>VLOOKUP(A4,[1]FO!$A$2:$A$69,2,0)</f>
        <v>#REF!</v>
      </c>
      <c r="D4" s="4">
        <v>1.35</v>
      </c>
      <c r="E4" s="10">
        <v>2.5</v>
      </c>
      <c r="G4" t="s">
        <v>232</v>
      </c>
      <c r="H4" s="1">
        <v>42385</v>
      </c>
      <c r="I4" s="6" t="e">
        <f t="shared" ref="I4:I67" si="6">G4-F4</f>
        <v>#VALUE!</v>
      </c>
      <c r="J4" s="6" t="e">
        <f>H4-G4</f>
        <v>#VALUE!</v>
      </c>
      <c r="K4" s="5" t="e">
        <f t="shared" si="0"/>
        <v>#VALUE!</v>
      </c>
      <c r="L4" s="5" t="e">
        <f t="shared" si="1"/>
        <v>#VALUE!</v>
      </c>
      <c r="M4" s="3"/>
      <c r="N4" s="3">
        <v>174.85</v>
      </c>
      <c r="O4" s="11">
        <v>46.92</v>
      </c>
      <c r="P4" s="7">
        <f t="shared" ref="P4:P67" si="7">N4-M4</f>
        <v>174.85</v>
      </c>
      <c r="Q4" s="7">
        <f t="shared" ref="Q4:Q67" si="8">O4-N4</f>
        <v>-127.92999999999999</v>
      </c>
      <c r="R4" s="5" t="e">
        <f t="shared" si="2"/>
        <v>#DIV/0!</v>
      </c>
      <c r="S4" s="5">
        <f t="shared" si="3"/>
        <v>-0.73165570488990561</v>
      </c>
      <c r="U4">
        <v>3724113</v>
      </c>
      <c r="V4" s="1">
        <f>VLOOKUP(A4,[2]Sheet1!$A:$B,2,0)</f>
        <v>4691798</v>
      </c>
      <c r="W4" s="6">
        <f t="shared" ref="W4:W67" si="9">U4-T4</f>
        <v>3724113</v>
      </c>
      <c r="X4" s="6">
        <f t="shared" ref="X4:X67" si="10">V4-U4</f>
        <v>967685</v>
      </c>
      <c r="Y4" s="5" t="e">
        <f t="shared" si="4"/>
        <v>#DIV/0!</v>
      </c>
      <c r="Z4" s="5">
        <f t="shared" si="5"/>
        <v>0.25984308209766999</v>
      </c>
      <c r="AA4" s="9">
        <v>-5852500</v>
      </c>
      <c r="AB4" s="10">
        <v>-3425000</v>
      </c>
      <c r="AD4">
        <v>6991</v>
      </c>
      <c r="AE4" s="1">
        <v>2543</v>
      </c>
      <c r="AF4" s="6">
        <f t="shared" ref="AF4:AF67" si="11">AD4-AC4</f>
        <v>6991</v>
      </c>
      <c r="AG4" s="6">
        <f t="shared" ref="AG4:AG67" si="12">AE4-AD4</f>
        <v>-4448</v>
      </c>
      <c r="AH4" s="5" t="e">
        <f t="shared" ref="AH4:AH67" si="13">AF4/AC4</f>
        <v>#DIV/0!</v>
      </c>
      <c r="AI4" s="5">
        <f t="shared" ref="AI4:AI67" si="14">AG4/AD4</f>
        <v>-0.63624660277499645</v>
      </c>
    </row>
    <row r="5" spans="1:35" x14ac:dyDescent="0.25">
      <c r="A5" s="2" t="s">
        <v>4</v>
      </c>
      <c r="B5" t="s">
        <v>52</v>
      </c>
      <c r="C5" t="e">
        <f>VLOOKUP(A5,[1]FO!$A$2:$A$69,2,0)</f>
        <v>#REF!</v>
      </c>
      <c r="D5" s="4">
        <v>-49.4</v>
      </c>
      <c r="E5" s="10">
        <v>-5.5</v>
      </c>
      <c r="G5" t="s">
        <v>232</v>
      </c>
      <c r="H5" s="1">
        <v>127879</v>
      </c>
      <c r="I5" s="6" t="e">
        <f t="shared" si="6"/>
        <v>#VALUE!</v>
      </c>
      <c r="J5" s="6" t="e">
        <f t="shared" ref="J5:J67" si="15">H5-G5</f>
        <v>#VALUE!</v>
      </c>
      <c r="K5" s="5" t="e">
        <f t="shared" si="0"/>
        <v>#VALUE!</v>
      </c>
      <c r="L5" s="5" t="e">
        <f t="shared" si="1"/>
        <v>#VALUE!</v>
      </c>
      <c r="M5" s="3"/>
      <c r="N5" s="3">
        <v>1797</v>
      </c>
      <c r="O5" s="11">
        <v>29.26</v>
      </c>
      <c r="P5" s="7">
        <f t="shared" si="7"/>
        <v>1797</v>
      </c>
      <c r="Q5" s="7">
        <f t="shared" si="8"/>
        <v>-1767.74</v>
      </c>
      <c r="R5" s="5" t="e">
        <f t="shared" si="2"/>
        <v>#DIV/0!</v>
      </c>
      <c r="S5" s="5">
        <f t="shared" si="3"/>
        <v>-0.98371730662214807</v>
      </c>
      <c r="U5">
        <v>863916</v>
      </c>
      <c r="V5" s="1">
        <f>VLOOKUP(A5,[2]Sheet1!$A:$B,2,0)</f>
        <v>2926355</v>
      </c>
      <c r="W5" s="6">
        <f t="shared" si="9"/>
        <v>863916</v>
      </c>
      <c r="X5" s="6">
        <f t="shared" si="10"/>
        <v>2062439</v>
      </c>
      <c r="Y5" s="5" t="e">
        <f t="shared" si="4"/>
        <v>#DIV/0!</v>
      </c>
      <c r="Z5" s="5">
        <f t="shared" si="5"/>
        <v>2.3873142759249744</v>
      </c>
      <c r="AA5" s="9">
        <v>-1918800</v>
      </c>
      <c r="AB5" s="10">
        <v>-456000</v>
      </c>
      <c r="AD5">
        <v>7417</v>
      </c>
      <c r="AE5" s="1">
        <v>2677</v>
      </c>
      <c r="AF5" s="6">
        <f t="shared" si="11"/>
        <v>7417</v>
      </c>
      <c r="AG5" s="6">
        <f t="shared" si="12"/>
        <v>-4740</v>
      </c>
      <c r="AH5" s="5" t="e">
        <f t="shared" si="13"/>
        <v>#DIV/0!</v>
      </c>
      <c r="AI5" s="5">
        <f t="shared" si="14"/>
        <v>-0.63907240124039366</v>
      </c>
    </row>
    <row r="6" spans="1:35" x14ac:dyDescent="0.25">
      <c r="A6" s="2" t="s">
        <v>5</v>
      </c>
      <c r="B6" t="s">
        <v>52</v>
      </c>
      <c r="C6" t="e">
        <f>VLOOKUP(A6,[1]FO!$A$2:$A$69,2,0)</f>
        <v>#REF!</v>
      </c>
      <c r="D6" s="4">
        <v>4.05</v>
      </c>
      <c r="E6" s="10">
        <v>0.45</v>
      </c>
      <c r="G6" t="s">
        <v>232</v>
      </c>
      <c r="H6" s="1">
        <v>101468</v>
      </c>
      <c r="I6" s="6" t="e">
        <f t="shared" si="6"/>
        <v>#VALUE!</v>
      </c>
      <c r="J6" s="6" t="e">
        <f t="shared" si="15"/>
        <v>#VALUE!</v>
      </c>
      <c r="K6" s="5" t="e">
        <f t="shared" si="0"/>
        <v>#VALUE!</v>
      </c>
      <c r="L6" s="5" t="e">
        <f t="shared" si="1"/>
        <v>#VALUE!</v>
      </c>
      <c r="M6" s="3"/>
      <c r="N6" s="3">
        <v>641</v>
      </c>
      <c r="O6" s="11">
        <v>63.92</v>
      </c>
      <c r="P6" s="7">
        <f t="shared" si="7"/>
        <v>641</v>
      </c>
      <c r="Q6" s="7">
        <f t="shared" si="8"/>
        <v>-577.08000000000004</v>
      </c>
      <c r="R6" s="5" t="e">
        <f t="shared" si="2"/>
        <v>#DIV/0!</v>
      </c>
      <c r="S6" s="5">
        <f t="shared" si="3"/>
        <v>-0.90028081123244941</v>
      </c>
      <c r="U6">
        <v>914486</v>
      </c>
      <c r="V6" s="1">
        <f>VLOOKUP(A6,[2]Sheet1!$A:$B,2,0)</f>
        <v>6391548</v>
      </c>
      <c r="W6" s="6">
        <f t="shared" si="9"/>
        <v>914486</v>
      </c>
      <c r="X6" s="6">
        <f t="shared" si="10"/>
        <v>5477062</v>
      </c>
      <c r="Y6" s="5" t="e">
        <f t="shared" si="4"/>
        <v>#DIV/0!</v>
      </c>
      <c r="Z6" s="5">
        <f t="shared" si="5"/>
        <v>5.9892245479974546</v>
      </c>
      <c r="AA6" s="9">
        <v>-1971000</v>
      </c>
      <c r="AB6" s="10">
        <v>-1358000</v>
      </c>
      <c r="AD6">
        <v>7093</v>
      </c>
      <c r="AE6" s="1">
        <v>4458</v>
      </c>
      <c r="AF6" s="6">
        <f t="shared" si="11"/>
        <v>7093</v>
      </c>
      <c r="AG6" s="6">
        <f t="shared" si="12"/>
        <v>-2635</v>
      </c>
      <c r="AH6" s="5" t="e">
        <f t="shared" si="13"/>
        <v>#DIV/0!</v>
      </c>
      <c r="AI6" s="5">
        <f t="shared" si="14"/>
        <v>-0.3714930212885944</v>
      </c>
    </row>
    <row r="7" spans="1:35" x14ac:dyDescent="0.25">
      <c r="A7" s="2" t="s">
        <v>6</v>
      </c>
      <c r="B7" t="s">
        <v>52</v>
      </c>
      <c r="C7" t="e">
        <f>VLOOKUP(A7,[1]FO!$A$2:$A$69,2,0)</f>
        <v>#REF!</v>
      </c>
      <c r="D7" s="4">
        <v>-16.600000000000001</v>
      </c>
      <c r="E7" s="10">
        <v>4.95</v>
      </c>
      <c r="G7" t="s">
        <v>232</v>
      </c>
      <c r="H7" s="1">
        <v>419141</v>
      </c>
      <c r="I7" s="6" t="e">
        <f t="shared" si="6"/>
        <v>#VALUE!</v>
      </c>
      <c r="J7" s="6" t="e">
        <f t="shared" si="15"/>
        <v>#VALUE!</v>
      </c>
      <c r="K7" s="5" t="e">
        <f t="shared" si="0"/>
        <v>#VALUE!</v>
      </c>
      <c r="L7" s="5" t="e">
        <f t="shared" si="1"/>
        <v>#VALUE!</v>
      </c>
      <c r="M7" s="3"/>
      <c r="N7" s="3">
        <v>461.9</v>
      </c>
      <c r="O7" s="11">
        <v>403.83</v>
      </c>
      <c r="P7" s="7">
        <f t="shared" si="7"/>
        <v>461.9</v>
      </c>
      <c r="Q7" s="7">
        <f t="shared" si="8"/>
        <v>-58.069999999999993</v>
      </c>
      <c r="R7" s="5" t="e">
        <f t="shared" si="2"/>
        <v>#DIV/0!</v>
      </c>
      <c r="S7" s="5">
        <f t="shared" si="3"/>
        <v>-0.12571985278198744</v>
      </c>
      <c r="U7">
        <v>5933011</v>
      </c>
      <c r="V7" s="1">
        <f>VLOOKUP(A7,[2]Sheet1!$A:$B,2,0)</f>
        <v>40383418</v>
      </c>
      <c r="W7" s="6">
        <f t="shared" si="9"/>
        <v>5933011</v>
      </c>
      <c r="X7" s="6">
        <f t="shared" si="10"/>
        <v>34450407</v>
      </c>
      <c r="Y7" s="5" t="e">
        <f t="shared" si="4"/>
        <v>#DIV/0!</v>
      </c>
      <c r="Z7" s="5">
        <f t="shared" si="5"/>
        <v>5.806563817259061</v>
      </c>
      <c r="AA7" s="9">
        <v>-6760800</v>
      </c>
      <c r="AB7" s="10">
        <v>-7520400</v>
      </c>
      <c r="AD7">
        <v>36860</v>
      </c>
      <c r="AE7" s="1">
        <v>16896</v>
      </c>
      <c r="AF7" s="6">
        <f t="shared" si="11"/>
        <v>36860</v>
      </c>
      <c r="AG7" s="6">
        <f t="shared" si="12"/>
        <v>-19964</v>
      </c>
      <c r="AH7" s="5" t="e">
        <f t="shared" si="13"/>
        <v>#DIV/0!</v>
      </c>
      <c r="AI7" s="5">
        <f t="shared" si="14"/>
        <v>-0.54161692892023872</v>
      </c>
    </row>
    <row r="8" spans="1:35" x14ac:dyDescent="0.25">
      <c r="A8" s="2" t="s">
        <v>7</v>
      </c>
      <c r="B8" t="s">
        <v>52</v>
      </c>
      <c r="C8" t="e">
        <f>VLOOKUP(A8,[1]FO!$A$2:$A$69,2,0)</f>
        <v>#REF!</v>
      </c>
      <c r="D8" s="4">
        <v>36.299999999999997</v>
      </c>
      <c r="E8" s="10">
        <v>124.65</v>
      </c>
      <c r="G8" t="s">
        <v>232</v>
      </c>
      <c r="H8" s="1">
        <v>69201</v>
      </c>
      <c r="I8" s="6" t="e">
        <f t="shared" si="6"/>
        <v>#VALUE!</v>
      </c>
      <c r="J8" s="6" t="e">
        <f t="shared" si="15"/>
        <v>#VALUE!</v>
      </c>
      <c r="K8" s="5" t="e">
        <f t="shared" si="0"/>
        <v>#VALUE!</v>
      </c>
      <c r="L8" s="5" t="e">
        <f t="shared" si="1"/>
        <v>#VALUE!</v>
      </c>
      <c r="M8" s="3"/>
      <c r="N8" s="3">
        <v>2654</v>
      </c>
      <c r="O8" s="11">
        <v>11.19</v>
      </c>
      <c r="P8" s="7">
        <f t="shared" si="7"/>
        <v>2654</v>
      </c>
      <c r="Q8" s="7">
        <f t="shared" si="8"/>
        <v>-2642.81</v>
      </c>
      <c r="R8" s="5" t="e">
        <f t="shared" si="2"/>
        <v>#DIV/0!</v>
      </c>
      <c r="S8" s="5">
        <f t="shared" si="3"/>
        <v>-0.99578372268274296</v>
      </c>
      <c r="U8">
        <v>165768</v>
      </c>
      <c r="V8" s="1">
        <f>VLOOKUP(A8,[2]Sheet1!$A:$B,2,0)</f>
        <v>1118713</v>
      </c>
      <c r="W8" s="6">
        <f t="shared" si="9"/>
        <v>165768</v>
      </c>
      <c r="X8" s="6">
        <f t="shared" si="10"/>
        <v>952945</v>
      </c>
      <c r="Y8" s="5" t="e">
        <f t="shared" si="4"/>
        <v>#DIV/0!</v>
      </c>
      <c r="Z8" s="5">
        <f t="shared" si="5"/>
        <v>5.7486668114473236</v>
      </c>
      <c r="AA8" s="9">
        <v>-423000</v>
      </c>
      <c r="AB8" s="10">
        <v>-271000</v>
      </c>
      <c r="AD8">
        <v>4297</v>
      </c>
      <c r="AE8" s="1">
        <v>2693</v>
      </c>
      <c r="AF8" s="6">
        <f t="shared" si="11"/>
        <v>4297</v>
      </c>
      <c r="AG8" s="6">
        <f t="shared" si="12"/>
        <v>-1604</v>
      </c>
      <c r="AH8" s="5" t="e">
        <f t="shared" si="13"/>
        <v>#DIV/0!</v>
      </c>
      <c r="AI8" s="5">
        <f t="shared" si="14"/>
        <v>-0.37328368629276237</v>
      </c>
    </row>
    <row r="9" spans="1:35" x14ac:dyDescent="0.25">
      <c r="A9" s="2" t="s">
        <v>53</v>
      </c>
      <c r="B9" t="s">
        <v>52</v>
      </c>
      <c r="C9" t="e">
        <f>VLOOKUP(A9,[1]FO!$A$2:$A$69,2,0)</f>
        <v>#REF!</v>
      </c>
      <c r="D9" s="4">
        <v>58.9</v>
      </c>
      <c r="E9" s="10">
        <v>21.55</v>
      </c>
      <c r="G9" t="s">
        <v>232</v>
      </c>
      <c r="H9" s="1">
        <v>434027</v>
      </c>
      <c r="I9" s="6" t="e">
        <f t="shared" si="6"/>
        <v>#VALUE!</v>
      </c>
      <c r="J9" s="6" t="e">
        <f t="shared" si="15"/>
        <v>#VALUE!</v>
      </c>
      <c r="K9" s="5" t="e">
        <f t="shared" si="0"/>
        <v>#VALUE!</v>
      </c>
      <c r="L9" s="5" t="e">
        <f t="shared" si="1"/>
        <v>#VALUE!</v>
      </c>
      <c r="M9" s="3"/>
      <c r="N9" s="3">
        <v>2418.9499999999998</v>
      </c>
      <c r="O9" s="11">
        <v>88.84</v>
      </c>
      <c r="P9" s="7">
        <f t="shared" si="7"/>
        <v>2418.9499999999998</v>
      </c>
      <c r="Q9" s="7">
        <f t="shared" si="8"/>
        <v>-2330.1099999999997</v>
      </c>
      <c r="R9" s="5" t="e">
        <f t="shared" si="2"/>
        <v>#DIV/0!</v>
      </c>
      <c r="S9" s="5">
        <f t="shared" si="3"/>
        <v>-0.96327332106905883</v>
      </c>
      <c r="U9">
        <v>2326539</v>
      </c>
      <c r="V9" s="1">
        <f>VLOOKUP(A9,[2]Sheet1!$A:$B,2,0)</f>
        <v>8884225</v>
      </c>
      <c r="W9" s="6">
        <f t="shared" si="9"/>
        <v>2326539</v>
      </c>
      <c r="X9" s="6">
        <f t="shared" si="10"/>
        <v>6557686</v>
      </c>
      <c r="Y9" s="5" t="e">
        <f t="shared" si="4"/>
        <v>#DIV/0!</v>
      </c>
      <c r="Z9" s="5">
        <f t="shared" si="5"/>
        <v>2.8186443468173112</v>
      </c>
      <c r="AA9" s="9">
        <v>-734750</v>
      </c>
      <c r="AB9" s="10">
        <v>-799500</v>
      </c>
      <c r="AD9">
        <v>44790</v>
      </c>
      <c r="AE9" s="1">
        <v>12962</v>
      </c>
      <c r="AF9" s="6">
        <f t="shared" si="11"/>
        <v>44790</v>
      </c>
      <c r="AG9" s="6">
        <f t="shared" si="12"/>
        <v>-31828</v>
      </c>
      <c r="AH9" s="5" t="e">
        <f t="shared" si="13"/>
        <v>#DIV/0!</v>
      </c>
      <c r="AI9" s="5">
        <f t="shared" si="14"/>
        <v>-0.71060504576914485</v>
      </c>
    </row>
    <row r="10" spans="1:35" x14ac:dyDescent="0.25">
      <c r="A10" s="2" t="s">
        <v>9</v>
      </c>
      <c r="B10" t="s">
        <v>52</v>
      </c>
      <c r="C10" t="e">
        <f>VLOOKUP(A10,[1]FO!$A$2:$A$69,2,0)</f>
        <v>#REF!</v>
      </c>
      <c r="D10" s="4">
        <v>7.35</v>
      </c>
      <c r="E10" s="10">
        <v>18.55</v>
      </c>
      <c r="G10" t="s">
        <v>232</v>
      </c>
      <c r="H10" s="1">
        <v>248150</v>
      </c>
      <c r="I10" s="6" t="e">
        <f t="shared" si="6"/>
        <v>#VALUE!</v>
      </c>
      <c r="J10" s="6" t="e">
        <f t="shared" si="15"/>
        <v>#VALUE!</v>
      </c>
      <c r="K10" s="5" t="e">
        <f>I10/F10</f>
        <v>#VALUE!</v>
      </c>
      <c r="L10" s="5" t="e">
        <f t="shared" si="1"/>
        <v>#VALUE!</v>
      </c>
      <c r="M10" s="3"/>
      <c r="N10" s="3">
        <v>515.95000000000005</v>
      </c>
      <c r="O10" s="11">
        <v>197.99</v>
      </c>
      <c r="P10" s="7">
        <f t="shared" si="7"/>
        <v>515.95000000000005</v>
      </c>
      <c r="Q10" s="7">
        <f t="shared" si="8"/>
        <v>-317.96000000000004</v>
      </c>
      <c r="R10" s="5" t="e">
        <f t="shared" si="2"/>
        <v>#DIV/0!</v>
      </c>
      <c r="S10" s="5">
        <f t="shared" si="3"/>
        <v>-0.61626126562651418</v>
      </c>
      <c r="U10">
        <v>5140240</v>
      </c>
      <c r="V10" s="1">
        <f>VLOOKUP(A10,[2]Sheet1!$A:$B,2,0)</f>
        <v>19799179</v>
      </c>
      <c r="W10" s="6">
        <f t="shared" si="9"/>
        <v>5140240</v>
      </c>
      <c r="X10" s="6">
        <f t="shared" si="10"/>
        <v>14658939</v>
      </c>
      <c r="Y10" s="5" t="e">
        <f t="shared" si="4"/>
        <v>#DIV/0!</v>
      </c>
      <c r="Z10" s="5">
        <f t="shared" si="5"/>
        <v>2.8518004995875681</v>
      </c>
      <c r="AA10" s="9">
        <v>-12657138</v>
      </c>
      <c r="AB10" s="10">
        <v>-5543745</v>
      </c>
      <c r="AD10">
        <v>14978</v>
      </c>
      <c r="AE10" s="1">
        <v>7354</v>
      </c>
      <c r="AF10" s="6">
        <f t="shared" si="11"/>
        <v>14978</v>
      </c>
      <c r="AG10" s="6">
        <f t="shared" si="12"/>
        <v>-7624</v>
      </c>
      <c r="AH10" s="5" t="e">
        <f t="shared" si="13"/>
        <v>#DIV/0!</v>
      </c>
      <c r="AI10" s="5">
        <f t="shared" si="14"/>
        <v>-0.50901321938843636</v>
      </c>
    </row>
    <row r="11" spans="1:35" x14ac:dyDescent="0.25">
      <c r="A11" s="2" t="s">
        <v>10</v>
      </c>
      <c r="B11" t="s">
        <v>52</v>
      </c>
      <c r="C11" t="e">
        <f>VLOOKUP(A11,[1]FO!$A$2:$A$69,2,0)</f>
        <v>#REF!</v>
      </c>
      <c r="D11" s="4">
        <v>99.6</v>
      </c>
      <c r="E11" s="10">
        <v>586.04999999999995</v>
      </c>
      <c r="G11" t="s">
        <v>232</v>
      </c>
      <c r="H11" s="1">
        <v>15901</v>
      </c>
      <c r="I11" s="6" t="e">
        <f t="shared" si="6"/>
        <v>#VALUE!</v>
      </c>
      <c r="J11" s="6" t="e">
        <f t="shared" si="15"/>
        <v>#VALUE!</v>
      </c>
      <c r="K11" s="5" t="e">
        <f t="shared" si="0"/>
        <v>#VALUE!</v>
      </c>
      <c r="L11" s="5" t="e">
        <f t="shared" si="1"/>
        <v>#VALUE!</v>
      </c>
      <c r="M11" s="3"/>
      <c r="N11" s="3">
        <v>10760.1</v>
      </c>
      <c r="O11" s="11">
        <v>0.71</v>
      </c>
      <c r="P11" s="7">
        <f t="shared" si="7"/>
        <v>10760.1</v>
      </c>
      <c r="Q11" s="7">
        <f t="shared" si="8"/>
        <v>-10759.390000000001</v>
      </c>
      <c r="R11" s="5" t="e">
        <f t="shared" si="2"/>
        <v>#DIV/0!</v>
      </c>
      <c r="S11" s="5">
        <f>Q11/N11</f>
        <v>-0.99993401548312755</v>
      </c>
      <c r="U11">
        <v>12866</v>
      </c>
      <c r="V11" s="1">
        <f>VLOOKUP(A11,[2]Sheet1!$A:$B,2,0)</f>
        <v>71220</v>
      </c>
      <c r="W11" s="6">
        <f t="shared" si="9"/>
        <v>12866</v>
      </c>
      <c r="X11" s="6">
        <f t="shared" si="10"/>
        <v>58354</v>
      </c>
      <c r="Y11" s="5" t="e">
        <f t="shared" si="4"/>
        <v>#DIV/0!</v>
      </c>
      <c r="Z11" s="5">
        <f t="shared" si="5"/>
        <v>4.5355199751282447</v>
      </c>
      <c r="AA11" s="9">
        <v>-26520</v>
      </c>
      <c r="AB11" s="10">
        <v>-31960</v>
      </c>
      <c r="AD11">
        <v>1097</v>
      </c>
      <c r="AE11" s="1">
        <v>1388</v>
      </c>
      <c r="AF11" s="6">
        <f t="shared" si="11"/>
        <v>1097</v>
      </c>
      <c r="AG11" s="6">
        <f t="shared" si="12"/>
        <v>291</v>
      </c>
      <c r="AH11" s="5" t="e">
        <f t="shared" si="13"/>
        <v>#DIV/0!</v>
      </c>
      <c r="AI11" s="5">
        <f t="shared" si="14"/>
        <v>0.2652689152233364</v>
      </c>
    </row>
    <row r="12" spans="1:35" x14ac:dyDescent="0.25">
      <c r="A12" s="2" t="s">
        <v>11</v>
      </c>
      <c r="B12" t="s">
        <v>52</v>
      </c>
      <c r="C12" t="e">
        <f>VLOOKUP(A12,[1]FO!$A$2:$A$69,2,0)</f>
        <v>#REF!</v>
      </c>
      <c r="D12" s="4">
        <v>0.85</v>
      </c>
      <c r="E12" s="10">
        <v>11.1</v>
      </c>
      <c r="G12" t="s">
        <v>232</v>
      </c>
      <c r="H12" s="1">
        <v>121982</v>
      </c>
      <c r="I12" s="6" t="e">
        <f t="shared" si="6"/>
        <v>#VALUE!</v>
      </c>
      <c r="J12" s="6" t="e">
        <f t="shared" si="15"/>
        <v>#VALUE!</v>
      </c>
      <c r="K12" s="5" t="e">
        <f t="shared" si="0"/>
        <v>#VALUE!</v>
      </c>
      <c r="L12" s="5" t="e">
        <f t="shared" si="1"/>
        <v>#VALUE!</v>
      </c>
      <c r="M12" s="3"/>
      <c r="N12" s="3">
        <v>373.4</v>
      </c>
      <c r="O12" s="11">
        <v>80.08</v>
      </c>
      <c r="P12" s="7">
        <f t="shared" si="7"/>
        <v>373.4</v>
      </c>
      <c r="Q12" s="7">
        <f t="shared" si="8"/>
        <v>-293.32</v>
      </c>
      <c r="R12" s="5" t="e">
        <f t="shared" si="2"/>
        <v>#DIV/0!</v>
      </c>
      <c r="S12" s="5">
        <f>Q12/N12</f>
        <v>-0.78553829673272635</v>
      </c>
      <c r="U12">
        <v>4157323</v>
      </c>
      <c r="V12" s="1">
        <f>VLOOKUP(A12,[2]Sheet1!$A:$B,2,0)</f>
        <v>8008429</v>
      </c>
      <c r="W12" s="6">
        <f t="shared" si="9"/>
        <v>4157323</v>
      </c>
      <c r="X12" s="6">
        <f t="shared" si="10"/>
        <v>3851106</v>
      </c>
      <c r="Y12" s="5" t="e">
        <f t="shared" si="4"/>
        <v>#DIV/0!</v>
      </c>
      <c r="Z12" s="5">
        <f t="shared" si="5"/>
        <v>0.92634274507898473</v>
      </c>
      <c r="AA12" s="9">
        <v>-6508800</v>
      </c>
      <c r="AB12" s="10">
        <v>-1395000</v>
      </c>
      <c r="AD12">
        <v>7973</v>
      </c>
      <c r="AE12" s="1">
        <v>2228</v>
      </c>
      <c r="AF12" s="6">
        <f t="shared" si="11"/>
        <v>7973</v>
      </c>
      <c r="AG12" s="6">
        <f t="shared" si="12"/>
        <v>-5745</v>
      </c>
      <c r="AH12" s="5" t="e">
        <f t="shared" si="13"/>
        <v>#DIV/0!</v>
      </c>
      <c r="AI12" s="5">
        <f t="shared" si="14"/>
        <v>-0.72055687946820524</v>
      </c>
    </row>
    <row r="13" spans="1:35" x14ac:dyDescent="0.25">
      <c r="A13" s="2" t="s">
        <v>12</v>
      </c>
      <c r="B13" t="s">
        <v>52</v>
      </c>
      <c r="C13" t="e">
        <f>VLOOKUP(A13,[1]FO!$A$2:$A$69,2,0)</f>
        <v>#REF!</v>
      </c>
      <c r="D13" s="4">
        <v>-3.2</v>
      </c>
      <c r="E13" s="10">
        <v>-6.25</v>
      </c>
      <c r="G13" t="s">
        <v>232</v>
      </c>
      <c r="H13" s="1">
        <v>162055</v>
      </c>
      <c r="I13" s="6" t="e">
        <f t="shared" si="6"/>
        <v>#VALUE!</v>
      </c>
      <c r="J13" s="6" t="e">
        <f t="shared" si="15"/>
        <v>#VALUE!</v>
      </c>
      <c r="K13" s="5" t="e">
        <f t="shared" si="0"/>
        <v>#VALUE!</v>
      </c>
      <c r="L13" s="5" t="e">
        <f t="shared" si="1"/>
        <v>#VALUE!</v>
      </c>
      <c r="M13" s="3"/>
      <c r="N13" s="3">
        <v>611.45000000000005</v>
      </c>
      <c r="O13" s="11">
        <v>91</v>
      </c>
      <c r="P13" s="7">
        <f t="shared" si="7"/>
        <v>611.45000000000005</v>
      </c>
      <c r="Q13" s="7">
        <f t="shared" si="8"/>
        <v>-520.45000000000005</v>
      </c>
      <c r="R13" s="5" t="e">
        <f t="shared" si="2"/>
        <v>#DIV/0!</v>
      </c>
      <c r="S13" s="5">
        <f t="shared" si="3"/>
        <v>-0.8511734401831712</v>
      </c>
      <c r="U13">
        <v>1437585</v>
      </c>
      <c r="V13" s="1">
        <f>VLOOKUP(A13,[2]Sheet1!$A:$B,2,0)</f>
        <v>9100084</v>
      </c>
      <c r="W13" s="6">
        <f t="shared" si="9"/>
        <v>1437585</v>
      </c>
      <c r="X13" s="6">
        <f t="shared" si="10"/>
        <v>7662499</v>
      </c>
      <c r="Y13" s="5" t="e">
        <f t="shared" si="4"/>
        <v>#DIV/0!</v>
      </c>
      <c r="Z13" s="5">
        <f t="shared" si="5"/>
        <v>5.3301189147076524</v>
      </c>
      <c r="AA13" s="9">
        <v>-2946300</v>
      </c>
      <c r="AB13" s="10">
        <v>-415150</v>
      </c>
      <c r="AD13">
        <v>7904</v>
      </c>
      <c r="AE13" s="1">
        <v>3437</v>
      </c>
      <c r="AF13" s="6">
        <f t="shared" si="11"/>
        <v>7904</v>
      </c>
      <c r="AG13" s="6">
        <f t="shared" si="12"/>
        <v>-4467</v>
      </c>
      <c r="AH13" s="5" t="e">
        <f t="shared" si="13"/>
        <v>#DIV/0!</v>
      </c>
      <c r="AI13" s="5">
        <f t="shared" si="14"/>
        <v>-0.56515688259109309</v>
      </c>
    </row>
    <row r="14" spans="1:35" x14ac:dyDescent="0.25">
      <c r="A14" s="2" t="s">
        <v>13</v>
      </c>
      <c r="B14" t="s">
        <v>52</v>
      </c>
      <c r="C14" t="e">
        <f>VLOOKUP(A14,[1]FO!$A$2:$A$69,2,0)</f>
        <v>#REF!</v>
      </c>
      <c r="D14" s="4">
        <v>4.5999999999999996</v>
      </c>
      <c r="E14" s="10">
        <v>8.9499999999999993</v>
      </c>
      <c r="G14" t="s">
        <v>232</v>
      </c>
      <c r="H14" s="1">
        <v>103971</v>
      </c>
      <c r="I14" s="6" t="e">
        <f t="shared" si="6"/>
        <v>#VALUE!</v>
      </c>
      <c r="J14" s="6" t="e">
        <f t="shared" si="15"/>
        <v>#VALUE!</v>
      </c>
      <c r="K14" s="5" t="e">
        <f t="shared" si="0"/>
        <v>#VALUE!</v>
      </c>
      <c r="L14" s="5" t="e">
        <f t="shared" si="1"/>
        <v>#VALUE!</v>
      </c>
      <c r="M14" s="3"/>
      <c r="N14" s="3">
        <v>149.44999999999999</v>
      </c>
      <c r="O14" s="11">
        <v>131.46</v>
      </c>
      <c r="P14" s="7">
        <f t="shared" si="7"/>
        <v>149.44999999999999</v>
      </c>
      <c r="Q14" s="7">
        <f t="shared" si="8"/>
        <v>-17.989999999999981</v>
      </c>
      <c r="R14" s="5" t="e">
        <f t="shared" si="2"/>
        <v>#DIV/0!</v>
      </c>
      <c r="S14" s="5">
        <f t="shared" si="3"/>
        <v>-0.12037470725995304</v>
      </c>
      <c r="U14">
        <v>3794832</v>
      </c>
      <c r="V14" s="1">
        <f>VLOOKUP(A14,[2]Sheet1!$A:$B,2,0)</f>
        <v>13146077</v>
      </c>
      <c r="W14" s="6">
        <f t="shared" si="9"/>
        <v>3794832</v>
      </c>
      <c r="X14" s="6">
        <f t="shared" si="10"/>
        <v>9351245</v>
      </c>
      <c r="Y14" s="5" t="e">
        <f t="shared" si="4"/>
        <v>#DIV/0!</v>
      </c>
      <c r="Z14" s="5">
        <f t="shared" si="5"/>
        <v>2.4642052665309029</v>
      </c>
      <c r="AA14" s="9">
        <v>-5780700</v>
      </c>
      <c r="AB14" s="10">
        <v>-4452300</v>
      </c>
      <c r="AD14">
        <v>3391</v>
      </c>
      <c r="AE14" s="1">
        <v>2756</v>
      </c>
      <c r="AF14" s="6">
        <f t="shared" si="11"/>
        <v>3391</v>
      </c>
      <c r="AG14" s="6">
        <f t="shared" si="12"/>
        <v>-635</v>
      </c>
      <c r="AH14" s="5" t="e">
        <f t="shared" si="13"/>
        <v>#DIV/0!</v>
      </c>
      <c r="AI14" s="5">
        <f t="shared" si="14"/>
        <v>-0.18726039516366855</v>
      </c>
    </row>
    <row r="15" spans="1:35" x14ac:dyDescent="0.25">
      <c r="A15" s="2" t="s">
        <v>14</v>
      </c>
      <c r="B15" t="s">
        <v>52</v>
      </c>
      <c r="C15" t="e">
        <f>VLOOKUP(A15,[1]FO!$A$2:$A$69,2,0)</f>
        <v>#REF!</v>
      </c>
      <c r="D15" s="4">
        <v>-67.75</v>
      </c>
      <c r="E15" s="10">
        <v>50.3</v>
      </c>
      <c r="G15" t="s">
        <v>232</v>
      </c>
      <c r="H15" s="1">
        <v>155606</v>
      </c>
      <c r="I15" s="6" t="e">
        <f t="shared" si="6"/>
        <v>#VALUE!</v>
      </c>
      <c r="J15" s="6" t="e">
        <f t="shared" si="15"/>
        <v>#VALUE!</v>
      </c>
      <c r="K15" s="5" t="e">
        <f t="shared" si="0"/>
        <v>#VALUE!</v>
      </c>
      <c r="L15" s="5" t="e">
        <f t="shared" si="1"/>
        <v>#VALUE!</v>
      </c>
      <c r="M15" s="3"/>
      <c r="N15" s="3">
        <v>4093.75</v>
      </c>
      <c r="O15" s="11">
        <v>21.78</v>
      </c>
      <c r="P15" s="7">
        <f t="shared" si="7"/>
        <v>4093.75</v>
      </c>
      <c r="Q15" s="7">
        <f t="shared" si="8"/>
        <v>-4071.97</v>
      </c>
      <c r="R15" s="5" t="e">
        <f t="shared" si="2"/>
        <v>#DIV/0!</v>
      </c>
      <c r="S15" s="5">
        <f t="shared" si="3"/>
        <v>-0.99467969465648853</v>
      </c>
      <c r="U15">
        <v>269818</v>
      </c>
      <c r="V15" s="1">
        <f>VLOOKUP(A15,[2]Sheet1!$A:$B,2,0)</f>
        <v>2178034</v>
      </c>
      <c r="W15" s="6">
        <f t="shared" si="9"/>
        <v>269818</v>
      </c>
      <c r="X15" s="6">
        <f t="shared" si="10"/>
        <v>1908216</v>
      </c>
      <c r="Y15" s="5" t="e">
        <f t="shared" si="4"/>
        <v>#DIV/0!</v>
      </c>
      <c r="Z15" s="5">
        <f t="shared" si="5"/>
        <v>7.0722338761683803</v>
      </c>
      <c r="AA15" s="9">
        <v>-789750</v>
      </c>
      <c r="AB15" s="10">
        <v>-432250</v>
      </c>
      <c r="AD15">
        <v>6132</v>
      </c>
      <c r="AE15" s="1">
        <v>6864</v>
      </c>
      <c r="AF15" s="6">
        <f t="shared" si="11"/>
        <v>6132</v>
      </c>
      <c r="AG15" s="6">
        <f t="shared" si="12"/>
        <v>732</v>
      </c>
      <c r="AH15" s="5" t="e">
        <f t="shared" si="13"/>
        <v>#DIV/0!</v>
      </c>
      <c r="AI15" s="5">
        <f t="shared" si="14"/>
        <v>0.11937377690802348</v>
      </c>
    </row>
    <row r="16" spans="1:35" x14ac:dyDescent="0.25">
      <c r="A16" s="2" t="s">
        <v>15</v>
      </c>
      <c r="B16" t="s">
        <v>52</v>
      </c>
      <c r="C16" t="e">
        <f>VLOOKUP(A16,[1]FO!$A$2:$A$69,2,0)</f>
        <v>#REF!</v>
      </c>
      <c r="D16" s="4">
        <v>55.8</v>
      </c>
      <c r="E16" s="10">
        <v>334.25</v>
      </c>
      <c r="G16" t="s">
        <v>232</v>
      </c>
      <c r="H16" s="1">
        <v>72009</v>
      </c>
      <c r="I16" s="6" t="e">
        <f t="shared" si="6"/>
        <v>#VALUE!</v>
      </c>
      <c r="J16" s="6" t="e">
        <f t="shared" si="15"/>
        <v>#VALUE!</v>
      </c>
      <c r="K16" s="5" t="e">
        <f t="shared" si="0"/>
        <v>#VALUE!</v>
      </c>
      <c r="L16" s="5" t="e">
        <f t="shared" si="1"/>
        <v>#VALUE!</v>
      </c>
      <c r="M16" s="3"/>
      <c r="N16" s="3">
        <v>14900</v>
      </c>
      <c r="O16" s="11">
        <v>3.47</v>
      </c>
      <c r="P16" s="7">
        <f t="shared" si="7"/>
        <v>14900</v>
      </c>
      <c r="Q16" s="7">
        <f t="shared" si="8"/>
        <v>-14896.53</v>
      </c>
      <c r="R16" s="5" t="e">
        <f t="shared" si="2"/>
        <v>#DIV/0!</v>
      </c>
      <c r="S16" s="5">
        <f t="shared" si="3"/>
        <v>-0.9997671140939598</v>
      </c>
      <c r="U16">
        <v>51807</v>
      </c>
      <c r="V16" s="1">
        <f>VLOOKUP(A16,[2]Sheet1!$A:$B,2,0)</f>
        <v>347244</v>
      </c>
      <c r="W16" s="6">
        <f t="shared" si="9"/>
        <v>51807</v>
      </c>
      <c r="X16" s="6">
        <f t="shared" si="10"/>
        <v>295437</v>
      </c>
      <c r="Y16" s="5" t="e">
        <f t="shared" si="4"/>
        <v>#DIV/0!</v>
      </c>
      <c r="Z16" s="5">
        <f t="shared" si="5"/>
        <v>5.7026463605304301</v>
      </c>
      <c r="AA16" s="9">
        <v>-66330</v>
      </c>
      <c r="AB16" s="10">
        <v>-37170</v>
      </c>
      <c r="AD16">
        <v>4472</v>
      </c>
      <c r="AE16" s="1">
        <v>3026</v>
      </c>
      <c r="AF16" s="6">
        <f t="shared" si="11"/>
        <v>4472</v>
      </c>
      <c r="AG16" s="6">
        <f t="shared" si="12"/>
        <v>-1446</v>
      </c>
      <c r="AH16" s="5" t="e">
        <f t="shared" si="13"/>
        <v>#DIV/0!</v>
      </c>
      <c r="AI16" s="5">
        <f t="shared" si="14"/>
        <v>-0.323345259391771</v>
      </c>
    </row>
    <row r="17" spans="1:35" x14ac:dyDescent="0.25">
      <c r="A17" s="2" t="s">
        <v>16</v>
      </c>
      <c r="B17" t="s">
        <v>52</v>
      </c>
      <c r="C17" t="e">
        <f>VLOOKUP(A17,[1]FO!$A$2:$A$69,2,0)</f>
        <v>#REF!</v>
      </c>
      <c r="D17" s="4">
        <v>4.45</v>
      </c>
      <c r="E17" s="10">
        <v>5.75</v>
      </c>
      <c r="G17" t="s">
        <v>232</v>
      </c>
      <c r="H17" s="1">
        <v>99030</v>
      </c>
      <c r="I17" s="6" t="e">
        <f t="shared" si="6"/>
        <v>#VALUE!</v>
      </c>
      <c r="J17" s="6" t="e">
        <f t="shared" si="15"/>
        <v>#VALUE!</v>
      </c>
      <c r="K17" s="5" t="e">
        <f t="shared" si="0"/>
        <v>#VALUE!</v>
      </c>
      <c r="L17" s="5" t="e">
        <f t="shared" si="1"/>
        <v>#VALUE!</v>
      </c>
      <c r="M17" s="3"/>
      <c r="N17" s="3">
        <v>96.55</v>
      </c>
      <c r="O17" s="11">
        <v>184.95</v>
      </c>
      <c r="P17" s="7">
        <f t="shared" si="7"/>
        <v>96.55</v>
      </c>
      <c r="Q17" s="7">
        <f t="shared" si="8"/>
        <v>88.399999999999991</v>
      </c>
      <c r="R17" s="5" t="e">
        <f t="shared" si="2"/>
        <v>#DIV/0!</v>
      </c>
      <c r="S17" s="5">
        <f t="shared" si="3"/>
        <v>0.91558777835318483</v>
      </c>
      <c r="U17">
        <v>10130343</v>
      </c>
      <c r="V17" s="1">
        <f>VLOOKUP(A17,[2]Sheet1!$A:$B,2,0)</f>
        <v>18495310</v>
      </c>
      <c r="W17" s="6">
        <f t="shared" si="9"/>
        <v>10130343</v>
      </c>
      <c r="X17" s="6">
        <f t="shared" si="10"/>
        <v>8364967</v>
      </c>
      <c r="Y17" s="5" t="e">
        <f t="shared" si="4"/>
        <v>#DIV/0!</v>
      </c>
      <c r="Z17" s="5">
        <f t="shared" si="5"/>
        <v>0.82573383744262163</v>
      </c>
      <c r="AA17" s="9">
        <v>-5088636</v>
      </c>
      <c r="AB17" s="10">
        <v>-6411468</v>
      </c>
      <c r="AD17">
        <v>3900</v>
      </c>
      <c r="AE17" s="1">
        <v>2234</v>
      </c>
      <c r="AF17" s="6">
        <f t="shared" si="11"/>
        <v>3900</v>
      </c>
      <c r="AG17" s="6">
        <f t="shared" si="12"/>
        <v>-1666</v>
      </c>
      <c r="AH17" s="5" t="e">
        <f t="shared" si="13"/>
        <v>#DIV/0!</v>
      </c>
      <c r="AI17" s="5">
        <f t="shared" si="14"/>
        <v>-0.42717948717948717</v>
      </c>
    </row>
    <row r="18" spans="1:35" x14ac:dyDescent="0.25">
      <c r="A18" s="2" t="s">
        <v>17</v>
      </c>
      <c r="B18" t="s">
        <v>52</v>
      </c>
      <c r="C18" t="e">
        <f>VLOOKUP(A18,[1]FO!$A$2:$A$69,2,0)</f>
        <v>#REF!</v>
      </c>
      <c r="D18" s="4">
        <v>23.9</v>
      </c>
      <c r="E18" s="10">
        <v>53.25</v>
      </c>
      <c r="G18" t="s">
        <v>232</v>
      </c>
      <c r="H18" s="1">
        <v>142686</v>
      </c>
      <c r="I18" s="6" t="e">
        <f t="shared" si="6"/>
        <v>#VALUE!</v>
      </c>
      <c r="J18" s="6" t="e">
        <f t="shared" si="15"/>
        <v>#VALUE!</v>
      </c>
      <c r="K18" s="5" t="e">
        <f t="shared" si="0"/>
        <v>#VALUE!</v>
      </c>
      <c r="L18" s="5" t="e">
        <f t="shared" si="1"/>
        <v>#VALUE!</v>
      </c>
      <c r="M18" s="3"/>
      <c r="N18" s="3">
        <v>565.5</v>
      </c>
      <c r="O18" s="11">
        <v>80.36</v>
      </c>
      <c r="P18" s="7">
        <f t="shared" si="7"/>
        <v>565.5</v>
      </c>
      <c r="Q18" s="7">
        <f t="shared" si="8"/>
        <v>-485.14</v>
      </c>
      <c r="R18" s="5" t="e">
        <f t="shared" si="2"/>
        <v>#DIV/0!</v>
      </c>
      <c r="S18" s="5">
        <f t="shared" si="3"/>
        <v>-0.8578956675508399</v>
      </c>
      <c r="U18">
        <v>2063716</v>
      </c>
      <c r="V18" s="1">
        <f>VLOOKUP(A18,[2]Sheet1!$A:$B,2,0)</f>
        <v>8035698</v>
      </c>
      <c r="W18" s="6">
        <f t="shared" si="9"/>
        <v>2063716</v>
      </c>
      <c r="X18" s="6">
        <f t="shared" si="10"/>
        <v>5971982</v>
      </c>
      <c r="Y18" s="5" t="e">
        <f t="shared" si="4"/>
        <v>#DIV/0!</v>
      </c>
      <c r="Z18" s="5">
        <f t="shared" si="5"/>
        <v>2.8938003097325407</v>
      </c>
      <c r="AA18" s="9">
        <v>-6186600</v>
      </c>
      <c r="AB18" s="10">
        <v>-2657200</v>
      </c>
      <c r="AD18">
        <v>6389</v>
      </c>
      <c r="AE18" s="1">
        <v>4153</v>
      </c>
      <c r="AF18" s="6">
        <f t="shared" si="11"/>
        <v>6389</v>
      </c>
      <c r="AG18" s="6">
        <f t="shared" si="12"/>
        <v>-2236</v>
      </c>
      <c r="AH18" s="5" t="e">
        <f t="shared" si="13"/>
        <v>#DIV/0!</v>
      </c>
      <c r="AI18" s="5">
        <f t="shared" si="14"/>
        <v>-0.3499765221474409</v>
      </c>
    </row>
    <row r="19" spans="1:35" x14ac:dyDescent="0.25">
      <c r="A19" s="2" t="s">
        <v>18</v>
      </c>
      <c r="B19" t="s">
        <v>52</v>
      </c>
      <c r="C19" t="e">
        <f>VLOOKUP(A19,[1]FO!$A$2:$A$69,2,0)</f>
        <v>#REF!</v>
      </c>
      <c r="D19" s="4">
        <v>112.15</v>
      </c>
      <c r="E19" s="10">
        <v>79.400000000000006</v>
      </c>
      <c r="G19" t="s">
        <v>232</v>
      </c>
      <c r="H19" s="1">
        <v>279673</v>
      </c>
      <c r="I19" s="6" t="e">
        <f t="shared" si="6"/>
        <v>#VALUE!</v>
      </c>
      <c r="J19" s="6" t="e">
        <f t="shared" si="15"/>
        <v>#VALUE!</v>
      </c>
      <c r="K19" s="5" t="e">
        <f t="shared" si="0"/>
        <v>#VALUE!</v>
      </c>
      <c r="L19" s="5" t="e">
        <f t="shared" si="1"/>
        <v>#VALUE!</v>
      </c>
      <c r="M19" s="3"/>
      <c r="N19" s="3">
        <v>1927</v>
      </c>
      <c r="O19" s="11">
        <v>82.37</v>
      </c>
      <c r="P19" s="7">
        <f t="shared" si="7"/>
        <v>1927</v>
      </c>
      <c r="Q19" s="7">
        <f t="shared" si="8"/>
        <v>-1844.63</v>
      </c>
      <c r="R19" s="5" t="e">
        <f t="shared" si="2"/>
        <v>#DIV/0!</v>
      </c>
      <c r="S19" s="5">
        <f t="shared" si="3"/>
        <v>-0.95725480020757658</v>
      </c>
      <c r="U19">
        <v>2681313</v>
      </c>
      <c r="V19" s="1">
        <f>VLOOKUP(A19,[2]Sheet1!$A:$B,2,0)</f>
        <v>8237079</v>
      </c>
      <c r="W19" s="6">
        <f t="shared" si="9"/>
        <v>2681313</v>
      </c>
      <c r="X19" s="6">
        <f t="shared" si="10"/>
        <v>5555766</v>
      </c>
      <c r="Y19" s="5" t="e">
        <f t="shared" si="4"/>
        <v>#DIV/0!</v>
      </c>
      <c r="Z19" s="5">
        <f t="shared" si="5"/>
        <v>2.0720318739363885</v>
      </c>
      <c r="AA19" s="9">
        <v>-5893000</v>
      </c>
      <c r="AB19" s="10">
        <v>-3890750</v>
      </c>
      <c r="AD19">
        <v>42816</v>
      </c>
      <c r="AE19" s="1">
        <v>25660</v>
      </c>
      <c r="AF19" s="6">
        <f t="shared" si="11"/>
        <v>42816</v>
      </c>
      <c r="AG19" s="6">
        <f t="shared" si="12"/>
        <v>-17156</v>
      </c>
      <c r="AH19" s="5" t="e">
        <f t="shared" si="13"/>
        <v>#DIV/0!</v>
      </c>
      <c r="AI19" s="5">
        <f t="shared" si="14"/>
        <v>-0.40069133034379673</v>
      </c>
    </row>
    <row r="20" spans="1:35" x14ac:dyDescent="0.25">
      <c r="A20" s="2" t="s">
        <v>19</v>
      </c>
      <c r="B20" t="s">
        <v>52</v>
      </c>
      <c r="C20" t="e">
        <f>VLOOKUP(A20,[1]FO!$A$2:$A$69,2,0)</f>
        <v>#REF!</v>
      </c>
      <c r="D20" s="4">
        <v>38.65</v>
      </c>
      <c r="E20" s="10">
        <v>22.9</v>
      </c>
      <c r="G20" t="s">
        <v>232</v>
      </c>
      <c r="H20" s="1">
        <v>451072</v>
      </c>
      <c r="I20" s="6" t="e">
        <f t="shared" si="6"/>
        <v>#VALUE!</v>
      </c>
      <c r="J20" s="6" t="e">
        <f t="shared" si="15"/>
        <v>#VALUE!</v>
      </c>
      <c r="K20" s="5" t="e">
        <f t="shared" si="0"/>
        <v>#VALUE!</v>
      </c>
      <c r="L20" s="5" t="e">
        <f t="shared" si="1"/>
        <v>#VALUE!</v>
      </c>
      <c r="M20" s="3"/>
      <c r="N20" s="3">
        <v>1019</v>
      </c>
      <c r="O20" s="11">
        <v>218.98</v>
      </c>
      <c r="P20" s="7">
        <f t="shared" si="7"/>
        <v>1019</v>
      </c>
      <c r="Q20" s="7">
        <f t="shared" si="8"/>
        <v>-800.02</v>
      </c>
      <c r="R20" s="5" t="e">
        <f t="shared" si="2"/>
        <v>#DIV/0!</v>
      </c>
      <c r="S20" s="5">
        <f t="shared" si="3"/>
        <v>-0.78510304219823357</v>
      </c>
      <c r="U20">
        <v>6302095</v>
      </c>
      <c r="V20" s="1">
        <f>VLOOKUP(A20,[2]Sheet1!$A:$B,2,0)</f>
        <v>21897643</v>
      </c>
      <c r="W20" s="6">
        <f t="shared" si="9"/>
        <v>6302095</v>
      </c>
      <c r="X20" s="6">
        <f t="shared" si="10"/>
        <v>15595548</v>
      </c>
      <c r="Y20" s="5" t="e">
        <f t="shared" si="4"/>
        <v>#DIV/0!</v>
      </c>
      <c r="Z20" s="5">
        <f t="shared" si="5"/>
        <v>2.4746608865781936</v>
      </c>
      <c r="AA20" s="9">
        <v>-7668000</v>
      </c>
      <c r="AB20" s="10">
        <v>-1664000</v>
      </c>
      <c r="AD20">
        <v>38673</v>
      </c>
      <c r="AE20" s="1">
        <v>17987</v>
      </c>
      <c r="AF20" s="6">
        <f t="shared" si="11"/>
        <v>38673</v>
      </c>
      <c r="AG20" s="6">
        <f t="shared" si="12"/>
        <v>-20686</v>
      </c>
      <c r="AH20" s="5" t="e">
        <f t="shared" si="13"/>
        <v>#DIV/0!</v>
      </c>
      <c r="AI20" s="5">
        <f t="shared" si="14"/>
        <v>-0.53489514648462755</v>
      </c>
    </row>
    <row r="21" spans="1:35" x14ac:dyDescent="0.25">
      <c r="A21" s="2" t="s">
        <v>20</v>
      </c>
      <c r="B21" t="s">
        <v>52</v>
      </c>
      <c r="C21" t="e">
        <f>VLOOKUP(A21,[1]FO!$A$2:$A$69,2,0)</f>
        <v>#REF!</v>
      </c>
      <c r="D21" s="4">
        <v>36.85</v>
      </c>
      <c r="E21" s="10">
        <v>182.75</v>
      </c>
      <c r="G21" t="s">
        <v>232</v>
      </c>
      <c r="H21" s="1">
        <v>129430</v>
      </c>
      <c r="I21" s="6" t="e">
        <f t="shared" si="6"/>
        <v>#VALUE!</v>
      </c>
      <c r="J21" s="6" t="e">
        <f t="shared" si="15"/>
        <v>#VALUE!</v>
      </c>
      <c r="K21" s="5" t="e">
        <f t="shared" si="0"/>
        <v>#VALUE!</v>
      </c>
      <c r="L21" s="5" t="e">
        <f t="shared" si="1"/>
        <v>#VALUE!</v>
      </c>
      <c r="M21" s="3"/>
      <c r="N21" s="3">
        <v>2198.1</v>
      </c>
      <c r="O21" s="11">
        <v>27.87</v>
      </c>
      <c r="P21" s="7">
        <f t="shared" si="7"/>
        <v>2198.1</v>
      </c>
      <c r="Q21" s="7">
        <f t="shared" si="8"/>
        <v>-2170.23</v>
      </c>
      <c r="R21" s="5" t="e">
        <f t="shared" si="2"/>
        <v>#DIV/0!</v>
      </c>
      <c r="S21" s="5">
        <f t="shared" si="3"/>
        <v>-0.98732086802238306</v>
      </c>
      <c r="U21">
        <v>449602</v>
      </c>
      <c r="V21" s="1">
        <f>VLOOKUP(A21,[2]Sheet1!$A:$B,2,0)</f>
        <v>2786594</v>
      </c>
      <c r="W21" s="6">
        <f t="shared" si="9"/>
        <v>449602</v>
      </c>
      <c r="X21" s="6">
        <f t="shared" si="10"/>
        <v>2336992</v>
      </c>
      <c r="Y21" s="5" t="e">
        <f t="shared" si="4"/>
        <v>#DIV/0!</v>
      </c>
      <c r="Z21" s="5">
        <f t="shared" si="5"/>
        <v>5.1979128206725056</v>
      </c>
      <c r="AA21" s="9">
        <v>-588200</v>
      </c>
      <c r="AB21" s="10">
        <v>-202400</v>
      </c>
      <c r="AD21">
        <v>5466</v>
      </c>
      <c r="AE21" s="1">
        <v>5329</v>
      </c>
      <c r="AF21" s="6">
        <f t="shared" si="11"/>
        <v>5466</v>
      </c>
      <c r="AG21" s="6">
        <f t="shared" si="12"/>
        <v>-137</v>
      </c>
      <c r="AH21" s="5" t="e">
        <f t="shared" si="13"/>
        <v>#DIV/0!</v>
      </c>
      <c r="AI21" s="5">
        <f t="shared" si="14"/>
        <v>-2.5064032199048663E-2</v>
      </c>
    </row>
    <row r="22" spans="1:35" x14ac:dyDescent="0.25">
      <c r="A22" s="2" t="s">
        <v>21</v>
      </c>
      <c r="B22" t="s">
        <v>52</v>
      </c>
      <c r="C22" t="e">
        <f>VLOOKUP(A22,[1]FO!$A$2:$A$69,2,0)</f>
        <v>#REF!</v>
      </c>
      <c r="D22" s="4">
        <v>7.65</v>
      </c>
      <c r="E22" s="10">
        <v>13.7</v>
      </c>
      <c r="G22" t="s">
        <v>232</v>
      </c>
      <c r="H22" s="1">
        <v>217908</v>
      </c>
      <c r="I22" s="6" t="e">
        <f t="shared" si="6"/>
        <v>#VALUE!</v>
      </c>
      <c r="J22" s="6" t="e">
        <f t="shared" si="15"/>
        <v>#VALUE!</v>
      </c>
      <c r="K22" s="5" t="e">
        <f t="shared" si="0"/>
        <v>#VALUE!</v>
      </c>
      <c r="L22" s="5" t="e">
        <f t="shared" si="1"/>
        <v>#VALUE!</v>
      </c>
      <c r="M22" s="3"/>
      <c r="N22" s="3">
        <v>132.19999999999999</v>
      </c>
      <c r="O22" s="11">
        <v>459.94</v>
      </c>
      <c r="P22" s="7">
        <f t="shared" si="7"/>
        <v>132.19999999999999</v>
      </c>
      <c r="Q22" s="7">
        <f t="shared" si="8"/>
        <v>327.74</v>
      </c>
      <c r="R22" s="5" t="e">
        <f t="shared" si="2"/>
        <v>#DIV/0!</v>
      </c>
      <c r="S22" s="5">
        <f t="shared" si="3"/>
        <v>2.4791225416036311</v>
      </c>
      <c r="U22">
        <v>3411156</v>
      </c>
      <c r="V22" s="1">
        <f>VLOOKUP(A22,[2]Sheet1!$A:$B,2,0)</f>
        <v>45993743</v>
      </c>
      <c r="W22" s="6">
        <f t="shared" si="9"/>
        <v>3411156</v>
      </c>
      <c r="X22" s="6">
        <f t="shared" si="10"/>
        <v>42582587</v>
      </c>
      <c r="Y22" s="5" t="e">
        <f t="shared" si="4"/>
        <v>#DIV/0!</v>
      </c>
      <c r="Z22" s="5">
        <f t="shared" si="5"/>
        <v>12.483330284513519</v>
      </c>
      <c r="AA22" s="9">
        <v>-6107500</v>
      </c>
      <c r="AB22" s="10">
        <v>-5719000</v>
      </c>
      <c r="AD22">
        <v>4339</v>
      </c>
      <c r="AE22" s="1">
        <v>4917</v>
      </c>
      <c r="AF22" s="6">
        <f t="shared" si="11"/>
        <v>4339</v>
      </c>
      <c r="AG22" s="6">
        <f t="shared" si="12"/>
        <v>578</v>
      </c>
      <c r="AH22" s="5" t="e">
        <f t="shared" si="13"/>
        <v>#DIV/0!</v>
      </c>
      <c r="AI22" s="5">
        <f t="shared" si="14"/>
        <v>0.13321041714680801</v>
      </c>
    </row>
    <row r="23" spans="1:35" x14ac:dyDescent="0.25">
      <c r="A23" s="2" t="s">
        <v>55</v>
      </c>
      <c r="B23" t="s">
        <v>52</v>
      </c>
      <c r="C23" t="e">
        <f>VLOOKUP(A23,[1]FO!$A$2:$A$69,2,0)</f>
        <v>#REF!</v>
      </c>
      <c r="D23" s="4">
        <v>-2.9</v>
      </c>
      <c r="E23" s="10">
        <v>11</v>
      </c>
      <c r="G23" t="s">
        <v>232</v>
      </c>
      <c r="H23" s="1">
        <v>100448</v>
      </c>
      <c r="I23" s="6" t="e">
        <f t="shared" si="6"/>
        <v>#VALUE!</v>
      </c>
      <c r="J23" s="6" t="e">
        <f t="shared" si="15"/>
        <v>#VALUE!</v>
      </c>
      <c r="K23" s="5" t="e">
        <f t="shared" si="0"/>
        <v>#VALUE!</v>
      </c>
      <c r="L23" s="5" t="e">
        <f t="shared" si="1"/>
        <v>#VALUE!</v>
      </c>
      <c r="M23" s="3"/>
      <c r="N23" s="3">
        <v>224.4</v>
      </c>
      <c r="O23" s="11">
        <v>100.64</v>
      </c>
      <c r="P23" s="7">
        <f t="shared" si="7"/>
        <v>224.4</v>
      </c>
      <c r="Q23" s="7">
        <f t="shared" si="8"/>
        <v>-123.76</v>
      </c>
      <c r="R23" s="5" t="e">
        <f t="shared" si="2"/>
        <v>#DIV/0!</v>
      </c>
      <c r="S23" s="5">
        <f t="shared" si="3"/>
        <v>-0.55151515151515151</v>
      </c>
      <c r="U23">
        <v>5581117</v>
      </c>
      <c r="V23" s="1">
        <f>VLOOKUP(A23,[2]Sheet1!$A:$B,2,0)</f>
        <v>10064082</v>
      </c>
      <c r="W23" s="6">
        <f t="shared" si="9"/>
        <v>5581117</v>
      </c>
      <c r="X23" s="6">
        <f t="shared" si="10"/>
        <v>4482965</v>
      </c>
      <c r="Y23" s="5" t="e">
        <f t="shared" si="4"/>
        <v>#DIV/0!</v>
      </c>
      <c r="Z23" s="5">
        <f t="shared" si="5"/>
        <v>0.80323795397946329</v>
      </c>
      <c r="AA23" s="9">
        <v>-3664500</v>
      </c>
      <c r="AB23" s="10">
        <v>-2192400</v>
      </c>
      <c r="AD23">
        <v>4232</v>
      </c>
      <c r="AE23" s="1">
        <v>3246</v>
      </c>
      <c r="AF23" s="6">
        <f t="shared" si="11"/>
        <v>4232</v>
      </c>
      <c r="AG23" s="6">
        <f t="shared" si="12"/>
        <v>-986</v>
      </c>
      <c r="AH23" s="5" t="e">
        <f t="shared" si="13"/>
        <v>#DIV/0!</v>
      </c>
      <c r="AI23" s="5">
        <f t="shared" si="14"/>
        <v>-0.23298676748582231</v>
      </c>
    </row>
    <row r="24" spans="1:35" x14ac:dyDescent="0.25">
      <c r="A24" s="2" t="s">
        <v>22</v>
      </c>
      <c r="B24" t="s">
        <v>52</v>
      </c>
      <c r="C24" t="e">
        <f>VLOOKUP(A24,[1]FO!$A$2:$A$69,2,0)</f>
        <v>#REF!</v>
      </c>
      <c r="D24" s="4">
        <v>-55.95</v>
      </c>
      <c r="E24" s="10">
        <v>-26.75</v>
      </c>
      <c r="G24" t="s">
        <v>232</v>
      </c>
      <c r="H24" s="1">
        <v>380311</v>
      </c>
      <c r="I24" s="6" t="e">
        <f t="shared" si="6"/>
        <v>#VALUE!</v>
      </c>
      <c r="J24" s="6" t="e">
        <f t="shared" si="15"/>
        <v>#VALUE!</v>
      </c>
      <c r="K24" s="5" t="e">
        <f t="shared" si="0"/>
        <v>#VALUE!</v>
      </c>
      <c r="L24" s="5" t="e">
        <f t="shared" si="1"/>
        <v>#VALUE!</v>
      </c>
      <c r="M24" s="3"/>
      <c r="N24" s="3">
        <v>2272</v>
      </c>
      <c r="O24" s="11">
        <v>84.48</v>
      </c>
      <c r="P24" s="7">
        <f t="shared" si="7"/>
        <v>2272</v>
      </c>
      <c r="Q24" s="7">
        <f t="shared" si="8"/>
        <v>-2187.52</v>
      </c>
      <c r="R24" s="5" t="e">
        <f t="shared" si="2"/>
        <v>#DIV/0!</v>
      </c>
      <c r="S24" s="5">
        <f t="shared" si="3"/>
        <v>-0.96281690140845066</v>
      </c>
      <c r="U24">
        <v>567932</v>
      </c>
      <c r="V24" s="1">
        <f>VLOOKUP(A24,[2]Sheet1!$A:$B,2,0)</f>
        <v>8448104</v>
      </c>
      <c r="W24" s="6">
        <f t="shared" si="9"/>
        <v>567932</v>
      </c>
      <c r="X24" s="6">
        <f t="shared" si="10"/>
        <v>7880172</v>
      </c>
      <c r="Y24" s="5" t="e">
        <f t="shared" si="4"/>
        <v>#DIV/0!</v>
      </c>
      <c r="Z24" s="5">
        <f t="shared" si="5"/>
        <v>13.875203369417466</v>
      </c>
      <c r="AA24" s="9">
        <v>-4102800</v>
      </c>
      <c r="AB24" s="10">
        <v>-1143300</v>
      </c>
      <c r="AD24">
        <v>22891</v>
      </c>
      <c r="AE24" s="1">
        <v>9920</v>
      </c>
      <c r="AF24" s="6">
        <f t="shared" si="11"/>
        <v>22891</v>
      </c>
      <c r="AG24" s="6">
        <f t="shared" si="12"/>
        <v>-12971</v>
      </c>
      <c r="AH24" s="5" t="e">
        <f t="shared" si="13"/>
        <v>#DIV/0!</v>
      </c>
      <c r="AI24" s="5">
        <f t="shared" si="14"/>
        <v>-0.56664191166834132</v>
      </c>
    </row>
    <row r="25" spans="1:35" x14ac:dyDescent="0.25">
      <c r="A25" s="2" t="s">
        <v>23</v>
      </c>
      <c r="B25" t="s">
        <v>52</v>
      </c>
      <c r="C25" t="e">
        <f>VLOOKUP(A25,[1]FO!$A$2:$A$69,2,0)</f>
        <v>#REF!</v>
      </c>
      <c r="D25" s="4">
        <v>8.9499999999999993</v>
      </c>
      <c r="E25" s="10">
        <v>6.6</v>
      </c>
      <c r="G25" t="s">
        <v>232</v>
      </c>
      <c r="H25" s="1">
        <v>174442</v>
      </c>
      <c r="I25" s="6" t="e">
        <f t="shared" si="6"/>
        <v>#VALUE!</v>
      </c>
      <c r="J25" s="6" t="e">
        <f t="shared" si="15"/>
        <v>#VALUE!</v>
      </c>
      <c r="K25" s="5" t="e">
        <f t="shared" si="0"/>
        <v>#VALUE!</v>
      </c>
      <c r="L25" s="5" t="e">
        <f t="shared" si="1"/>
        <v>#VALUE!</v>
      </c>
      <c r="M25" s="3"/>
      <c r="N25" s="3">
        <v>134.9</v>
      </c>
      <c r="O25" s="11">
        <v>301.44</v>
      </c>
      <c r="P25" s="7">
        <f t="shared" si="7"/>
        <v>134.9</v>
      </c>
      <c r="Q25" s="7">
        <f t="shared" si="8"/>
        <v>166.54</v>
      </c>
      <c r="R25" s="5" t="e">
        <f t="shared" si="2"/>
        <v>#DIV/0!</v>
      </c>
      <c r="S25" s="5">
        <f t="shared" si="3"/>
        <v>1.2345441067457374</v>
      </c>
      <c r="U25">
        <v>2064982</v>
      </c>
      <c r="V25" s="1">
        <f>VLOOKUP(A25,[2]Sheet1!$A:$B,2,0)</f>
        <v>30143670</v>
      </c>
      <c r="W25" s="6">
        <f t="shared" si="9"/>
        <v>2064982</v>
      </c>
      <c r="X25" s="6">
        <f t="shared" si="10"/>
        <v>28078688</v>
      </c>
      <c r="Y25" s="5" t="e">
        <f t="shared" si="4"/>
        <v>#DIV/0!</v>
      </c>
      <c r="Z25" s="5">
        <f t="shared" si="5"/>
        <v>13.597546128731388</v>
      </c>
      <c r="AA25" s="9">
        <v>-4722000</v>
      </c>
      <c r="AB25" s="10">
        <v>-1300800</v>
      </c>
      <c r="AD25">
        <v>16814</v>
      </c>
      <c r="AE25" s="1">
        <v>5188</v>
      </c>
      <c r="AF25" s="6">
        <f t="shared" si="11"/>
        <v>16814</v>
      </c>
      <c r="AG25" s="6">
        <f t="shared" si="12"/>
        <v>-11626</v>
      </c>
      <c r="AH25" s="5" t="e">
        <f t="shared" si="13"/>
        <v>#DIV/0!</v>
      </c>
      <c r="AI25" s="5">
        <f t="shared" si="14"/>
        <v>-0.69144760318781973</v>
      </c>
    </row>
    <row r="26" spans="1:35" x14ac:dyDescent="0.25">
      <c r="A26" s="2" t="s">
        <v>24</v>
      </c>
      <c r="B26" t="s">
        <v>52</v>
      </c>
      <c r="C26" t="e">
        <f>VLOOKUP(A26,[1]FO!$A$2:$A$69,2,0)</f>
        <v>#REF!</v>
      </c>
      <c r="D26" s="4">
        <v>7.8</v>
      </c>
      <c r="E26" s="10">
        <v>7.25</v>
      </c>
      <c r="G26" t="s">
        <v>232</v>
      </c>
      <c r="H26" s="1">
        <v>413914</v>
      </c>
      <c r="I26" s="6" t="e">
        <f t="shared" si="6"/>
        <v>#VALUE!</v>
      </c>
      <c r="J26" s="6" t="e">
        <f t="shared" si="15"/>
        <v>#VALUE!</v>
      </c>
      <c r="K26" s="5" t="e">
        <f t="shared" si="0"/>
        <v>#VALUE!</v>
      </c>
      <c r="L26" s="5" t="e">
        <f t="shared" si="1"/>
        <v>#VALUE!</v>
      </c>
      <c r="M26" s="3"/>
      <c r="N26" s="3">
        <v>392.95</v>
      </c>
      <c r="O26" s="11">
        <v>457.35</v>
      </c>
      <c r="P26" s="7">
        <f t="shared" si="7"/>
        <v>392.95</v>
      </c>
      <c r="Q26" s="7">
        <f t="shared" si="8"/>
        <v>64.400000000000034</v>
      </c>
      <c r="R26" s="5" t="e">
        <f t="shared" si="2"/>
        <v>#DIV/0!</v>
      </c>
      <c r="S26" s="5">
        <f t="shared" si="3"/>
        <v>0.1638885354370786</v>
      </c>
      <c r="U26">
        <v>9305910</v>
      </c>
      <c r="V26" s="1">
        <f>VLOOKUP(A26,[2]Sheet1!$A:$B,2,0)</f>
        <v>45735197</v>
      </c>
      <c r="W26" s="6">
        <f t="shared" si="9"/>
        <v>9305910</v>
      </c>
      <c r="X26" s="6">
        <f t="shared" si="10"/>
        <v>36429287</v>
      </c>
      <c r="Y26" s="5" t="e">
        <f t="shared" si="4"/>
        <v>#DIV/0!</v>
      </c>
      <c r="Z26" s="5">
        <f t="shared" si="5"/>
        <v>3.9146399438636306</v>
      </c>
      <c r="AA26" s="9">
        <v>-21290500</v>
      </c>
      <c r="AB26" s="10">
        <v>-12806750</v>
      </c>
      <c r="AD26">
        <v>42058</v>
      </c>
      <c r="AE26" s="1">
        <v>23163</v>
      </c>
      <c r="AF26" s="6">
        <f t="shared" si="11"/>
        <v>42058</v>
      </c>
      <c r="AG26" s="6">
        <f t="shared" si="12"/>
        <v>-18895</v>
      </c>
      <c r="AH26" s="5" t="e">
        <f t="shared" si="13"/>
        <v>#DIV/0!</v>
      </c>
      <c r="AI26" s="5">
        <f t="shared" si="14"/>
        <v>-0.44926054496171952</v>
      </c>
    </row>
    <row r="27" spans="1:35" x14ac:dyDescent="0.25">
      <c r="A27" s="2" t="s">
        <v>25</v>
      </c>
      <c r="B27" t="s">
        <v>52</v>
      </c>
      <c r="C27" t="e">
        <f>VLOOKUP(A27,[1]FO!$A$2:$A$69,2,0)</f>
        <v>#N/A</v>
      </c>
      <c r="D27" s="4">
        <v>-2.5499999999999998</v>
      </c>
      <c r="E27" s="10">
        <v>-3.1</v>
      </c>
      <c r="G27" t="s">
        <v>232</v>
      </c>
      <c r="H27" s="1">
        <v>429633</v>
      </c>
      <c r="I27" s="6" t="e">
        <f t="shared" si="6"/>
        <v>#VALUE!</v>
      </c>
      <c r="J27" s="6" t="e">
        <f t="shared" si="15"/>
        <v>#VALUE!</v>
      </c>
      <c r="K27" s="5" t="e">
        <f t="shared" si="0"/>
        <v>#VALUE!</v>
      </c>
      <c r="L27" s="5" t="e">
        <f t="shared" si="1"/>
        <v>#VALUE!</v>
      </c>
      <c r="M27" s="3"/>
      <c r="N27" s="3">
        <v>491.85</v>
      </c>
      <c r="O27" s="11">
        <v>266.56</v>
      </c>
      <c r="P27" s="7">
        <f t="shared" si="7"/>
        <v>491.85</v>
      </c>
      <c r="Q27" s="7">
        <f t="shared" si="8"/>
        <v>-225.29000000000002</v>
      </c>
      <c r="R27" s="5" t="e">
        <f t="shared" si="2"/>
        <v>#DIV/0!</v>
      </c>
      <c r="S27" s="5">
        <f t="shared" si="3"/>
        <v>-0.45804615228219986</v>
      </c>
      <c r="U27">
        <v>8392637</v>
      </c>
      <c r="V27" s="1">
        <f>VLOOKUP(A27,[2]Sheet1!$A:$B,2,0)</f>
        <v>26655548</v>
      </c>
      <c r="W27" s="6">
        <f t="shared" si="9"/>
        <v>8392637</v>
      </c>
      <c r="X27" s="6">
        <f t="shared" si="10"/>
        <v>18262911</v>
      </c>
      <c r="Y27" s="5" t="e">
        <f t="shared" si="4"/>
        <v>#DIV/0!</v>
      </c>
      <c r="Z27" s="5">
        <f t="shared" si="5"/>
        <v>2.1760634947037505</v>
      </c>
      <c r="AA27" s="9">
        <v>-5158400</v>
      </c>
      <c r="AB27" s="10">
        <v>-2170800</v>
      </c>
      <c r="AD27">
        <v>80283</v>
      </c>
      <c r="AE27" s="1">
        <v>21714</v>
      </c>
      <c r="AF27" s="6">
        <f t="shared" si="11"/>
        <v>80283</v>
      </c>
      <c r="AG27" s="6">
        <f t="shared" si="12"/>
        <v>-58569</v>
      </c>
      <c r="AH27" s="5" t="e">
        <f t="shared" si="13"/>
        <v>#DIV/0!</v>
      </c>
      <c r="AI27" s="5">
        <f t="shared" si="14"/>
        <v>-0.72953178132356788</v>
      </c>
    </row>
    <row r="28" spans="1:35" x14ac:dyDescent="0.25">
      <c r="A28" s="2" t="s">
        <v>26</v>
      </c>
      <c r="B28" t="s">
        <v>52</v>
      </c>
      <c r="C28" t="e">
        <f>VLOOKUP(A28,[1]FO!$A$2:$A$69,2,0)</f>
        <v>#N/A</v>
      </c>
      <c r="D28" s="4">
        <v>3.2</v>
      </c>
      <c r="E28" s="10">
        <v>11.25</v>
      </c>
      <c r="G28" t="s">
        <v>232</v>
      </c>
      <c r="H28" s="1">
        <v>59993</v>
      </c>
      <c r="I28" s="6" t="e">
        <f t="shared" si="6"/>
        <v>#VALUE!</v>
      </c>
      <c r="J28" s="6" t="e">
        <f t="shared" si="15"/>
        <v>#VALUE!</v>
      </c>
      <c r="K28" s="5" t="e">
        <f t="shared" si="0"/>
        <v>#VALUE!</v>
      </c>
      <c r="L28" s="5" t="e">
        <f t="shared" si="1"/>
        <v>#VALUE!</v>
      </c>
      <c r="M28" s="3"/>
      <c r="N28" s="3">
        <v>175.8</v>
      </c>
      <c r="O28" s="11">
        <v>56.71</v>
      </c>
      <c r="P28" s="7">
        <f t="shared" si="7"/>
        <v>175.8</v>
      </c>
      <c r="Q28" s="7">
        <f t="shared" si="8"/>
        <v>-119.09</v>
      </c>
      <c r="R28" s="5" t="e">
        <f t="shared" si="2"/>
        <v>#DIV/0!</v>
      </c>
      <c r="S28" s="5">
        <f t="shared" si="3"/>
        <v>-0.67741751990898746</v>
      </c>
      <c r="U28">
        <v>1359226</v>
      </c>
      <c r="V28" s="1">
        <f>VLOOKUP(A28,[2]Sheet1!$A:$B,2,0)</f>
        <v>5671218</v>
      </c>
      <c r="W28" s="6">
        <f t="shared" si="9"/>
        <v>1359226</v>
      </c>
      <c r="X28" s="6">
        <f t="shared" si="10"/>
        <v>4311992</v>
      </c>
      <c r="Y28" s="5" t="e">
        <f t="shared" si="4"/>
        <v>#DIV/0!</v>
      </c>
      <c r="Z28" s="5">
        <f t="shared" si="5"/>
        <v>3.1723878148299107</v>
      </c>
      <c r="AA28" s="9">
        <v>-3254000</v>
      </c>
      <c r="AB28" s="10">
        <v>-750000</v>
      </c>
      <c r="AD28">
        <v>2923</v>
      </c>
      <c r="AE28" s="1">
        <v>1184</v>
      </c>
      <c r="AF28" s="6">
        <f t="shared" si="11"/>
        <v>2923</v>
      </c>
      <c r="AG28" s="6">
        <f t="shared" si="12"/>
        <v>-1739</v>
      </c>
      <c r="AH28" s="5" t="e">
        <f t="shared" si="13"/>
        <v>#DIV/0!</v>
      </c>
      <c r="AI28" s="5">
        <f t="shared" si="14"/>
        <v>-0.59493670886075944</v>
      </c>
    </row>
    <row r="29" spans="1:35" x14ac:dyDescent="0.25">
      <c r="A29" s="2" t="s">
        <v>27</v>
      </c>
      <c r="B29" t="s">
        <v>52</v>
      </c>
      <c r="C29" t="e">
        <f>VLOOKUP(A29,[1]FO!$A$2:$A$69,2,0)</f>
        <v>#N/A</v>
      </c>
      <c r="D29" s="4">
        <v>17.3</v>
      </c>
      <c r="E29" s="10">
        <v>38.5</v>
      </c>
      <c r="G29" t="s">
        <v>232</v>
      </c>
      <c r="H29" s="1">
        <v>277142</v>
      </c>
      <c r="I29" s="6" t="e">
        <f t="shared" si="6"/>
        <v>#VALUE!</v>
      </c>
      <c r="J29" s="6" t="e">
        <f t="shared" si="15"/>
        <v>#VALUE!</v>
      </c>
      <c r="K29" s="5" t="e">
        <f t="shared" si="0"/>
        <v>#VALUE!</v>
      </c>
      <c r="L29" s="5" t="e">
        <f t="shared" si="1"/>
        <v>#VALUE!</v>
      </c>
      <c r="M29" s="3"/>
      <c r="N29" s="3">
        <v>720</v>
      </c>
      <c r="O29" s="11">
        <v>162.54</v>
      </c>
      <c r="P29" s="7">
        <f t="shared" si="7"/>
        <v>720</v>
      </c>
      <c r="Q29" s="7">
        <f t="shared" si="8"/>
        <v>-557.46</v>
      </c>
      <c r="R29" s="5" t="e">
        <f t="shared" si="2"/>
        <v>#DIV/0!</v>
      </c>
      <c r="S29" s="5">
        <f t="shared" si="3"/>
        <v>-0.7742500000000001</v>
      </c>
      <c r="U29">
        <v>3379174</v>
      </c>
      <c r="V29" s="1">
        <f>VLOOKUP(A29,[2]Sheet1!$A:$B,2,0)</f>
        <v>16254036</v>
      </c>
      <c r="W29" s="6">
        <f t="shared" si="9"/>
        <v>3379174</v>
      </c>
      <c r="X29" s="6">
        <f t="shared" si="10"/>
        <v>12874862</v>
      </c>
      <c r="Y29" s="5" t="e">
        <f t="shared" si="4"/>
        <v>#DIV/0!</v>
      </c>
      <c r="Z29" s="5">
        <f t="shared" si="5"/>
        <v>3.8100618671900293</v>
      </c>
      <c r="AA29" s="9">
        <v>-11053200</v>
      </c>
      <c r="AB29" s="10">
        <v>-5192400</v>
      </c>
      <c r="AD29">
        <v>13865</v>
      </c>
      <c r="AE29" s="1">
        <v>11939</v>
      </c>
      <c r="AF29" s="6">
        <f t="shared" si="11"/>
        <v>13865</v>
      </c>
      <c r="AG29" s="6">
        <f t="shared" si="12"/>
        <v>-1926</v>
      </c>
      <c r="AH29" s="5" t="e">
        <f t="shared" si="13"/>
        <v>#DIV/0!</v>
      </c>
      <c r="AI29" s="5">
        <f t="shared" si="14"/>
        <v>-0.13891092679408582</v>
      </c>
    </row>
    <row r="30" spans="1:35" x14ac:dyDescent="0.25">
      <c r="A30" s="2" t="s">
        <v>28</v>
      </c>
      <c r="B30" t="s">
        <v>52</v>
      </c>
      <c r="C30" t="e">
        <f>VLOOKUP(A30,[1]FO!$A$2:$A$69,2,0)</f>
        <v>#N/A</v>
      </c>
      <c r="D30" s="4">
        <v>1.05</v>
      </c>
      <c r="E30" s="10">
        <v>3.65</v>
      </c>
      <c r="G30" t="s">
        <v>232</v>
      </c>
      <c r="H30" s="1">
        <v>77748</v>
      </c>
      <c r="I30" s="6" t="e">
        <f t="shared" si="6"/>
        <v>#VALUE!</v>
      </c>
      <c r="J30" s="6" t="e">
        <f t="shared" si="15"/>
        <v>#VALUE!</v>
      </c>
      <c r="K30" s="5" t="e">
        <f t="shared" si="0"/>
        <v>#VALUE!</v>
      </c>
      <c r="L30" s="5" t="e">
        <f t="shared" si="1"/>
        <v>#VALUE!</v>
      </c>
      <c r="M30" s="3"/>
      <c r="N30" s="3">
        <v>84.5</v>
      </c>
      <c r="O30" s="11">
        <v>211.94</v>
      </c>
      <c r="P30" s="7">
        <f t="shared" si="7"/>
        <v>84.5</v>
      </c>
      <c r="Q30" s="7">
        <f t="shared" si="8"/>
        <v>127.44</v>
      </c>
      <c r="R30" s="5" t="e">
        <f t="shared" si="2"/>
        <v>#DIV/0!</v>
      </c>
      <c r="S30" s="5">
        <f t="shared" si="3"/>
        <v>1.5081656804733727</v>
      </c>
      <c r="U30">
        <v>7602661</v>
      </c>
      <c r="V30" s="1">
        <f>VLOOKUP(A30,[2]Sheet1!$A:$B,2,0)</f>
        <v>21193860</v>
      </c>
      <c r="W30" s="6">
        <f t="shared" si="9"/>
        <v>7602661</v>
      </c>
      <c r="X30" s="6">
        <f t="shared" si="10"/>
        <v>13591199</v>
      </c>
      <c r="Y30" s="5" t="e">
        <f t="shared" si="4"/>
        <v>#DIV/0!</v>
      </c>
      <c r="Z30" s="5">
        <f t="shared" si="5"/>
        <v>1.7876897312664606</v>
      </c>
      <c r="AA30" s="9">
        <v>-17796000</v>
      </c>
      <c r="AB30" s="10">
        <v>-11832000</v>
      </c>
      <c r="AD30">
        <v>8941</v>
      </c>
      <c r="AE30" s="1">
        <v>4532</v>
      </c>
      <c r="AF30" s="6">
        <f t="shared" si="11"/>
        <v>8941</v>
      </c>
      <c r="AG30" s="6">
        <f t="shared" si="12"/>
        <v>-4409</v>
      </c>
      <c r="AH30" s="5" t="e">
        <f t="shared" si="13"/>
        <v>#DIV/0!</v>
      </c>
      <c r="AI30" s="5">
        <f t="shared" si="14"/>
        <v>-0.49312157476792307</v>
      </c>
    </row>
    <row r="31" spans="1:35" x14ac:dyDescent="0.25">
      <c r="A31" s="2" t="s">
        <v>29</v>
      </c>
      <c r="B31" t="s">
        <v>52</v>
      </c>
      <c r="C31" t="e">
        <f>VLOOKUP(A31,[1]FO!$A$2:$A$69,2,0)</f>
        <v>#N/A</v>
      </c>
      <c r="D31" s="4">
        <v>2.6</v>
      </c>
      <c r="E31" s="10">
        <v>-1.1000000000000001</v>
      </c>
      <c r="G31" t="s">
        <v>232</v>
      </c>
      <c r="H31" s="1">
        <v>211892</v>
      </c>
      <c r="I31" s="6" t="e">
        <f t="shared" si="6"/>
        <v>#VALUE!</v>
      </c>
      <c r="J31" s="6" t="e">
        <f t="shared" si="15"/>
        <v>#VALUE!</v>
      </c>
      <c r="K31" s="5" t="e">
        <f t="shared" si="0"/>
        <v>#VALUE!</v>
      </c>
      <c r="L31" s="5" t="e">
        <f t="shared" si="1"/>
        <v>#VALUE!</v>
      </c>
      <c r="M31" s="3"/>
      <c r="N31" s="3">
        <v>184.9</v>
      </c>
      <c r="O31" s="11">
        <v>301.69</v>
      </c>
      <c r="P31" s="7">
        <f t="shared" si="7"/>
        <v>184.9</v>
      </c>
      <c r="Q31" s="7">
        <f t="shared" si="8"/>
        <v>116.78999999999999</v>
      </c>
      <c r="R31" s="5" t="e">
        <f t="shared" si="2"/>
        <v>#DIV/0!</v>
      </c>
      <c r="S31" s="5">
        <f t="shared" si="3"/>
        <v>0.63163872363439688</v>
      </c>
      <c r="U31">
        <v>10200719</v>
      </c>
      <c r="V31" s="1">
        <f>VLOOKUP(A31,[2]Sheet1!$A:$B,2,0)</f>
        <v>30169126</v>
      </c>
      <c r="W31" s="6">
        <f t="shared" si="9"/>
        <v>10200719</v>
      </c>
      <c r="X31" s="6">
        <f t="shared" si="10"/>
        <v>19968407</v>
      </c>
      <c r="Y31" s="5" t="e">
        <f t="shared" si="4"/>
        <v>#DIV/0!</v>
      </c>
      <c r="Z31" s="5">
        <f t="shared" si="5"/>
        <v>1.9575489727733899</v>
      </c>
      <c r="AA31" s="9">
        <v>-10483200</v>
      </c>
      <c r="AB31" s="10">
        <v>-7135200</v>
      </c>
      <c r="AD31">
        <v>9899</v>
      </c>
      <c r="AE31" s="1">
        <v>5763</v>
      </c>
      <c r="AF31" s="6">
        <f t="shared" si="11"/>
        <v>9899</v>
      </c>
      <c r="AG31" s="6">
        <f t="shared" si="12"/>
        <v>-4136</v>
      </c>
      <c r="AH31" s="5" t="e">
        <f t="shared" si="13"/>
        <v>#DIV/0!</v>
      </c>
      <c r="AI31" s="5">
        <f t="shared" si="14"/>
        <v>-0.41781998181634511</v>
      </c>
    </row>
    <row r="32" spans="1:35" x14ac:dyDescent="0.25">
      <c r="A32" s="2" t="s">
        <v>30</v>
      </c>
      <c r="B32" t="s">
        <v>52</v>
      </c>
      <c r="C32" t="e">
        <f>VLOOKUP(A32,[1]FO!$A$2:$A$69,2,0)</f>
        <v>#N/A</v>
      </c>
      <c r="D32" s="4">
        <v>-1.65</v>
      </c>
      <c r="E32" s="10">
        <v>27.65</v>
      </c>
      <c r="G32" t="s">
        <v>232</v>
      </c>
      <c r="H32" s="1">
        <v>147161</v>
      </c>
      <c r="I32" s="6" t="e">
        <f t="shared" si="6"/>
        <v>#VALUE!</v>
      </c>
      <c r="J32" s="6" t="e">
        <f t="shared" si="15"/>
        <v>#VALUE!</v>
      </c>
      <c r="K32" s="5" t="e">
        <f t="shared" si="0"/>
        <v>#VALUE!</v>
      </c>
      <c r="L32" s="5" t="e">
        <f t="shared" si="1"/>
        <v>#VALUE!</v>
      </c>
      <c r="M32" s="3"/>
      <c r="N32" s="3">
        <v>1380</v>
      </c>
      <c r="O32" s="11">
        <v>62.73</v>
      </c>
      <c r="P32" s="7">
        <f t="shared" si="7"/>
        <v>1380</v>
      </c>
      <c r="Q32" s="7">
        <f t="shared" si="8"/>
        <v>-1317.27</v>
      </c>
      <c r="R32" s="5" t="e">
        <f t="shared" si="2"/>
        <v>#DIV/0!</v>
      </c>
      <c r="S32" s="5">
        <f t="shared" si="3"/>
        <v>-0.9545434782608696</v>
      </c>
      <c r="U32">
        <v>3161482</v>
      </c>
      <c r="V32" s="1">
        <f>VLOOKUP(A32,[2]Sheet1!$A:$B,2,0)</f>
        <v>6272569</v>
      </c>
      <c r="W32" s="6">
        <f t="shared" si="9"/>
        <v>3161482</v>
      </c>
      <c r="X32" s="6">
        <f t="shared" si="10"/>
        <v>3111087</v>
      </c>
      <c r="Y32" s="5" t="e">
        <f t="shared" si="4"/>
        <v>#DIV/0!</v>
      </c>
      <c r="Z32" s="5">
        <f t="shared" si="5"/>
        <v>0.9840596909930216</v>
      </c>
      <c r="AA32" s="9">
        <v>-1869200</v>
      </c>
      <c r="AB32" s="10">
        <v>-1247600</v>
      </c>
      <c r="AD32">
        <v>21200</v>
      </c>
      <c r="AE32" s="1">
        <v>9661</v>
      </c>
      <c r="AF32" s="6">
        <f t="shared" si="11"/>
        <v>21200</v>
      </c>
      <c r="AG32" s="6">
        <f t="shared" si="12"/>
        <v>-11539</v>
      </c>
      <c r="AH32" s="5" t="e">
        <f t="shared" si="13"/>
        <v>#DIV/0!</v>
      </c>
      <c r="AI32" s="5">
        <f t="shared" si="14"/>
        <v>-0.54429245283018868</v>
      </c>
    </row>
    <row r="33" spans="1:35" x14ac:dyDescent="0.25">
      <c r="A33" s="2" t="s">
        <v>31</v>
      </c>
      <c r="B33" t="s">
        <v>52</v>
      </c>
      <c r="C33" t="e">
        <f>VLOOKUP(A33,[1]FO!$A$2:$A$69,2,0)</f>
        <v>#N/A</v>
      </c>
      <c r="D33" s="4">
        <v>14.3</v>
      </c>
      <c r="E33" s="10">
        <v>22.6</v>
      </c>
      <c r="G33" t="s">
        <v>232</v>
      </c>
      <c r="H33" s="1">
        <v>162674</v>
      </c>
      <c r="I33" s="6" t="e">
        <f t="shared" si="6"/>
        <v>#VALUE!</v>
      </c>
      <c r="J33" s="6" t="e">
        <f t="shared" si="15"/>
        <v>#VALUE!</v>
      </c>
      <c r="K33" s="5" t="e">
        <f t="shared" si="0"/>
        <v>#VALUE!</v>
      </c>
      <c r="L33" s="5" t="e">
        <f t="shared" si="1"/>
        <v>#VALUE!</v>
      </c>
      <c r="M33" s="3"/>
      <c r="N33" s="3">
        <v>916.8</v>
      </c>
      <c r="O33" s="11">
        <v>63.33</v>
      </c>
      <c r="P33" s="7">
        <f t="shared" si="7"/>
        <v>916.8</v>
      </c>
      <c r="Q33" s="7">
        <f t="shared" si="8"/>
        <v>-853.46999999999991</v>
      </c>
      <c r="R33" s="5" t="e">
        <f t="shared" si="2"/>
        <v>#DIV/0!</v>
      </c>
      <c r="S33" s="5">
        <f t="shared" si="3"/>
        <v>-0.9309227748691099</v>
      </c>
      <c r="U33">
        <v>1582742</v>
      </c>
      <c r="V33" s="1">
        <f>VLOOKUP(A33,[2]Sheet1!$A:$B,2,0)</f>
        <v>6333023</v>
      </c>
      <c r="W33" s="6">
        <f t="shared" si="9"/>
        <v>1582742</v>
      </c>
      <c r="X33" s="6">
        <f t="shared" si="10"/>
        <v>4750281</v>
      </c>
      <c r="Y33" s="5" t="e">
        <f t="shared" si="4"/>
        <v>#DIV/0!</v>
      </c>
      <c r="Z33" s="5">
        <f t="shared" si="5"/>
        <v>3.0012983796474724</v>
      </c>
      <c r="AA33" s="9">
        <v>-3814500</v>
      </c>
      <c r="AB33" s="10">
        <v>-891000</v>
      </c>
      <c r="AD33">
        <v>16406</v>
      </c>
      <c r="AE33" s="1">
        <v>8013</v>
      </c>
      <c r="AF33" s="6">
        <f t="shared" si="11"/>
        <v>16406</v>
      </c>
      <c r="AG33" s="6">
        <f t="shared" si="12"/>
        <v>-8393</v>
      </c>
      <c r="AH33" s="5" t="e">
        <f t="shared" si="13"/>
        <v>#DIV/0!</v>
      </c>
      <c r="AI33" s="5">
        <f t="shared" si="14"/>
        <v>-0.51158112885529683</v>
      </c>
    </row>
    <row r="34" spans="1:35" x14ac:dyDescent="0.25">
      <c r="A34" s="2" t="s">
        <v>32</v>
      </c>
      <c r="B34" t="s">
        <v>52</v>
      </c>
      <c r="C34" t="e">
        <f>VLOOKUP(A34,[1]FO!$A$2:$A$69,2,0)</f>
        <v>#N/A</v>
      </c>
      <c r="D34" s="4">
        <v>-0.85</v>
      </c>
      <c r="E34" s="10">
        <v>-20.6</v>
      </c>
      <c r="G34" t="s">
        <v>232</v>
      </c>
      <c r="H34" s="1">
        <v>155467</v>
      </c>
      <c r="I34" s="6" t="e">
        <f t="shared" si="6"/>
        <v>#VALUE!</v>
      </c>
      <c r="J34" s="6" t="e">
        <f t="shared" si="15"/>
        <v>#VALUE!</v>
      </c>
      <c r="K34" s="5" t="e">
        <f t="shared" si="0"/>
        <v>#VALUE!</v>
      </c>
      <c r="L34" s="5" t="e">
        <f t="shared" si="1"/>
        <v>#VALUE!</v>
      </c>
      <c r="M34" s="3"/>
      <c r="N34" s="3">
        <v>878.2</v>
      </c>
      <c r="O34" s="11">
        <v>76.430000000000007</v>
      </c>
      <c r="P34" s="7">
        <f t="shared" si="7"/>
        <v>878.2</v>
      </c>
      <c r="Q34" s="7">
        <f t="shared" si="8"/>
        <v>-801.77</v>
      </c>
      <c r="R34" s="5" t="e">
        <f t="shared" si="2"/>
        <v>#DIV/0!</v>
      </c>
      <c r="S34" s="5">
        <f t="shared" si="3"/>
        <v>-0.91296971077203359</v>
      </c>
      <c r="U34">
        <v>865180</v>
      </c>
      <c r="V34" s="1">
        <f>VLOOKUP(A34,[2]Sheet1!$A:$B,2,0)</f>
        <v>7643331</v>
      </c>
      <c r="W34" s="6">
        <f t="shared" si="9"/>
        <v>865180</v>
      </c>
      <c r="X34" s="6">
        <f t="shared" si="10"/>
        <v>6778151</v>
      </c>
      <c r="Y34" s="5" t="e">
        <f t="shared" si="4"/>
        <v>#DIV/0!</v>
      </c>
      <c r="Z34" s="5">
        <f t="shared" si="5"/>
        <v>7.8343824406481888</v>
      </c>
      <c r="AA34" s="9">
        <v>-2657900</v>
      </c>
      <c r="AB34" s="10">
        <v>-1250200</v>
      </c>
      <c r="AD34">
        <v>8247</v>
      </c>
      <c r="AE34" s="1">
        <v>5741</v>
      </c>
      <c r="AF34" s="6">
        <f t="shared" si="11"/>
        <v>8247</v>
      </c>
      <c r="AG34" s="6">
        <f t="shared" si="12"/>
        <v>-2506</v>
      </c>
      <c r="AH34" s="5" t="e">
        <f t="shared" si="13"/>
        <v>#DIV/0!</v>
      </c>
      <c r="AI34" s="5">
        <f t="shared" si="14"/>
        <v>-0.30386807323875348</v>
      </c>
    </row>
    <row r="35" spans="1:35" x14ac:dyDescent="0.25">
      <c r="A35" s="2" t="s">
        <v>33</v>
      </c>
      <c r="B35" t="s">
        <v>52</v>
      </c>
      <c r="C35" t="e">
        <f>VLOOKUP(A35,[1]FO!$A$2:$A$69,2,0)</f>
        <v>#N/A</v>
      </c>
      <c r="D35" s="4">
        <v>13.05</v>
      </c>
      <c r="E35" s="10">
        <v>19.55</v>
      </c>
      <c r="G35" t="s">
        <v>232</v>
      </c>
      <c r="H35" s="1">
        <v>124105</v>
      </c>
      <c r="I35" s="6" t="e">
        <f t="shared" si="6"/>
        <v>#VALUE!</v>
      </c>
      <c r="J35" s="6" t="e">
        <f t="shared" si="15"/>
        <v>#VALUE!</v>
      </c>
      <c r="K35" s="5" t="e">
        <f t="shared" si="0"/>
        <v>#VALUE!</v>
      </c>
      <c r="L35" s="5" t="e">
        <f t="shared" si="1"/>
        <v>#VALUE!</v>
      </c>
      <c r="M35" s="3"/>
      <c r="N35" s="3">
        <v>368</v>
      </c>
      <c r="O35" s="11">
        <v>74.23</v>
      </c>
      <c r="P35" s="7">
        <f t="shared" si="7"/>
        <v>368</v>
      </c>
      <c r="Q35" s="7">
        <f t="shared" si="8"/>
        <v>-293.77</v>
      </c>
      <c r="R35" s="5" t="e">
        <f t="shared" si="2"/>
        <v>#DIV/0!</v>
      </c>
      <c r="S35" s="5">
        <f t="shared" si="3"/>
        <v>-0.79828804347826077</v>
      </c>
      <c r="U35">
        <v>1571305</v>
      </c>
      <c r="V35" s="1">
        <f>VLOOKUP(A35,[2]Sheet1!$A:$B,2,0)</f>
        <v>7422880</v>
      </c>
      <c r="W35" s="6">
        <f t="shared" si="9"/>
        <v>1571305</v>
      </c>
      <c r="X35" s="6">
        <f t="shared" si="10"/>
        <v>5851575</v>
      </c>
      <c r="Y35" s="5" t="e">
        <f t="shared" si="4"/>
        <v>#DIV/0!</v>
      </c>
      <c r="Z35" s="5">
        <f t="shared" si="5"/>
        <v>3.7240223890333195</v>
      </c>
      <c r="AA35" s="9">
        <v>-3981000</v>
      </c>
      <c r="AB35" s="10">
        <v>-1895000</v>
      </c>
      <c r="AD35">
        <v>6526</v>
      </c>
      <c r="AE35" s="1">
        <v>3740</v>
      </c>
      <c r="AF35" s="6">
        <f t="shared" si="11"/>
        <v>6526</v>
      </c>
      <c r="AG35" s="6">
        <f t="shared" si="12"/>
        <v>-2786</v>
      </c>
      <c r="AH35" s="5" t="e">
        <f t="shared" si="13"/>
        <v>#DIV/0!</v>
      </c>
      <c r="AI35" s="5">
        <f t="shared" si="14"/>
        <v>-0.42690775360098071</v>
      </c>
    </row>
    <row r="36" spans="1:35" x14ac:dyDescent="0.25">
      <c r="A36" s="2" t="s">
        <v>34</v>
      </c>
      <c r="B36" t="s">
        <v>52</v>
      </c>
      <c r="C36" t="e">
        <f>VLOOKUP(A36,[1]FO!$A$2:$A$69,2,0)</f>
        <v>#N/A</v>
      </c>
      <c r="D36" s="4">
        <v>2.2999999999999998</v>
      </c>
      <c r="E36" s="10">
        <v>274.55</v>
      </c>
      <c r="G36" t="s">
        <v>232</v>
      </c>
      <c r="H36" s="1">
        <v>239910</v>
      </c>
      <c r="I36" s="6" t="e">
        <f t="shared" si="6"/>
        <v>#VALUE!</v>
      </c>
      <c r="J36" s="6" t="e">
        <f t="shared" si="15"/>
        <v>#VALUE!</v>
      </c>
      <c r="K36" s="5" t="e">
        <f t="shared" si="0"/>
        <v>#VALUE!</v>
      </c>
      <c r="L36" s="5" t="e">
        <f t="shared" si="1"/>
        <v>#VALUE!</v>
      </c>
      <c r="M36" s="3"/>
      <c r="N36" s="3">
        <v>5425</v>
      </c>
      <c r="O36" s="11">
        <v>23.41</v>
      </c>
      <c r="P36" s="7">
        <f t="shared" si="7"/>
        <v>5425</v>
      </c>
      <c r="Q36" s="7">
        <f t="shared" si="8"/>
        <v>-5401.59</v>
      </c>
      <c r="R36" s="5" t="e">
        <f t="shared" si="2"/>
        <v>#DIV/0!</v>
      </c>
      <c r="S36" s="5">
        <f t="shared" si="3"/>
        <v>-0.99568479262672815</v>
      </c>
      <c r="U36">
        <v>348077</v>
      </c>
      <c r="V36" s="1">
        <f>VLOOKUP(A36,[2]Sheet1!$A:$B,2,0)</f>
        <v>2341400</v>
      </c>
      <c r="W36" s="6">
        <f t="shared" si="9"/>
        <v>348077</v>
      </c>
      <c r="X36" s="6">
        <f t="shared" si="10"/>
        <v>1993323</v>
      </c>
      <c r="Y36" s="5" t="e">
        <f t="shared" si="4"/>
        <v>#DIV/0!</v>
      </c>
      <c r="Z36" s="5">
        <f t="shared" si="5"/>
        <v>5.7266725465917023</v>
      </c>
      <c r="AA36" s="9">
        <v>-581800</v>
      </c>
      <c r="AB36" s="10">
        <v>-329800</v>
      </c>
      <c r="AD36">
        <v>12937</v>
      </c>
      <c r="AE36" s="1">
        <v>10925</v>
      </c>
      <c r="AF36" s="6">
        <f t="shared" si="11"/>
        <v>12937</v>
      </c>
      <c r="AG36" s="6">
        <f t="shared" si="12"/>
        <v>-2012</v>
      </c>
      <c r="AH36" s="5" t="e">
        <f t="shared" si="13"/>
        <v>#DIV/0!</v>
      </c>
      <c r="AI36" s="5">
        <f t="shared" si="14"/>
        <v>-0.15552291876014532</v>
      </c>
    </row>
    <row r="37" spans="1:35" x14ac:dyDescent="0.25">
      <c r="A37" s="2" t="s">
        <v>35</v>
      </c>
      <c r="B37" t="s">
        <v>52</v>
      </c>
      <c r="C37" t="e">
        <f>VLOOKUP(A37,[1]FO!$A$2:$A$69,2,0)</f>
        <v>#N/A</v>
      </c>
      <c r="D37" s="4">
        <v>-0.1</v>
      </c>
      <c r="E37" s="10">
        <v>5.75</v>
      </c>
      <c r="G37" t="s">
        <v>232</v>
      </c>
      <c r="H37" s="1">
        <v>78530</v>
      </c>
      <c r="I37" s="6" t="e">
        <f t="shared" si="6"/>
        <v>#VALUE!</v>
      </c>
      <c r="J37" s="6" t="e">
        <f t="shared" si="15"/>
        <v>#VALUE!</v>
      </c>
      <c r="K37" s="5" t="e">
        <f t="shared" si="0"/>
        <v>#VALUE!</v>
      </c>
      <c r="L37" s="5" t="e">
        <f t="shared" si="1"/>
        <v>#VALUE!</v>
      </c>
      <c r="M37" s="3"/>
      <c r="N37" s="3">
        <v>97</v>
      </c>
      <c r="O37" s="11">
        <v>151.51</v>
      </c>
      <c r="P37" s="7">
        <f t="shared" si="7"/>
        <v>97</v>
      </c>
      <c r="Q37" s="7">
        <f t="shared" si="8"/>
        <v>54.509999999999991</v>
      </c>
      <c r="R37" s="5" t="e">
        <f t="shared" si="2"/>
        <v>#DIV/0!</v>
      </c>
      <c r="S37" s="5">
        <f t="shared" si="3"/>
        <v>0.56195876288659785</v>
      </c>
      <c r="U37">
        <v>9657627</v>
      </c>
      <c r="V37" s="1">
        <f>VLOOKUP(A37,[2]Sheet1!$A:$B,2,0)</f>
        <v>15151440</v>
      </c>
      <c r="W37" s="6">
        <f t="shared" si="9"/>
        <v>9657627</v>
      </c>
      <c r="X37" s="6">
        <f t="shared" si="10"/>
        <v>5493813</v>
      </c>
      <c r="Y37" s="5" t="e">
        <f t="shared" si="4"/>
        <v>#DIV/0!</v>
      </c>
      <c r="Z37" s="5">
        <f t="shared" si="5"/>
        <v>0.5688574429308566</v>
      </c>
      <c r="AA37" s="9">
        <v>-10041600</v>
      </c>
      <c r="AB37" s="10">
        <v>-10272000</v>
      </c>
      <c r="AD37">
        <v>4496</v>
      </c>
      <c r="AE37" s="1">
        <v>3609</v>
      </c>
      <c r="AF37" s="6">
        <f t="shared" si="11"/>
        <v>4496</v>
      </c>
      <c r="AG37" s="6">
        <f t="shared" si="12"/>
        <v>-887</v>
      </c>
      <c r="AH37" s="5" t="e">
        <f t="shared" si="13"/>
        <v>#DIV/0!</v>
      </c>
      <c r="AI37" s="5">
        <f t="shared" si="14"/>
        <v>-0.1972864768683274</v>
      </c>
    </row>
    <row r="38" spans="1:35" x14ac:dyDescent="0.25">
      <c r="A38" s="2" t="s">
        <v>36</v>
      </c>
      <c r="B38" t="s">
        <v>52</v>
      </c>
      <c r="C38" t="e">
        <f>VLOOKUP(A38,[1]FO!$A$2:$A$69,2,0)</f>
        <v>#N/A</v>
      </c>
      <c r="D38" s="4">
        <v>1.35</v>
      </c>
      <c r="E38" s="10">
        <v>9.25</v>
      </c>
      <c r="G38" t="s">
        <v>232</v>
      </c>
      <c r="H38" s="1">
        <v>180146</v>
      </c>
      <c r="I38" s="6" t="e">
        <f t="shared" si="6"/>
        <v>#VALUE!</v>
      </c>
      <c r="J38" s="6" t="e">
        <f t="shared" si="15"/>
        <v>#VALUE!</v>
      </c>
      <c r="K38" s="5" t="e">
        <f t="shared" si="0"/>
        <v>#VALUE!</v>
      </c>
      <c r="L38" s="5" t="e">
        <f t="shared" si="1"/>
        <v>#VALUE!</v>
      </c>
      <c r="M38" s="3"/>
      <c r="N38" s="3">
        <v>81.05</v>
      </c>
      <c r="O38" s="11">
        <v>542.95000000000005</v>
      </c>
      <c r="P38" s="7">
        <f t="shared" si="7"/>
        <v>81.05</v>
      </c>
      <c r="Q38" s="7">
        <f t="shared" si="8"/>
        <v>461.90000000000003</v>
      </c>
      <c r="R38" s="5" t="e">
        <f t="shared" si="2"/>
        <v>#DIV/0!</v>
      </c>
      <c r="S38" s="5">
        <f t="shared" si="3"/>
        <v>5.6989512646514502</v>
      </c>
      <c r="U38">
        <v>6454501</v>
      </c>
      <c r="V38" s="1">
        <f>VLOOKUP(A38,[2]Sheet1!$A:$B,2,0)</f>
        <v>54295139</v>
      </c>
      <c r="W38" s="6">
        <f t="shared" si="9"/>
        <v>6454501</v>
      </c>
      <c r="X38" s="6">
        <f t="shared" si="10"/>
        <v>47840638</v>
      </c>
      <c r="Y38" s="5" t="e">
        <f t="shared" si="4"/>
        <v>#DIV/0!</v>
      </c>
      <c r="Z38" s="5">
        <f t="shared" si="5"/>
        <v>7.4119808796992981</v>
      </c>
      <c r="AA38" s="9">
        <v>-18556600</v>
      </c>
      <c r="AB38" s="10">
        <v>-6022900</v>
      </c>
      <c r="AD38">
        <v>8446</v>
      </c>
      <c r="AE38" s="1">
        <v>4021</v>
      </c>
      <c r="AF38" s="6">
        <f t="shared" si="11"/>
        <v>8446</v>
      </c>
      <c r="AG38" s="6">
        <f t="shared" si="12"/>
        <v>-4425</v>
      </c>
      <c r="AH38" s="5" t="e">
        <f t="shared" si="13"/>
        <v>#DIV/0!</v>
      </c>
      <c r="AI38" s="5">
        <f t="shared" si="14"/>
        <v>-0.52391664693345963</v>
      </c>
    </row>
    <row r="39" spans="1:35" x14ac:dyDescent="0.25">
      <c r="A39" s="2" t="s">
        <v>37</v>
      </c>
      <c r="B39" t="s">
        <v>52</v>
      </c>
      <c r="C39" t="e">
        <f>VLOOKUP(A39,[1]FO!$A$2:$A$69,2,0)</f>
        <v>#N/A</v>
      </c>
      <c r="D39" s="4">
        <v>0.75</v>
      </c>
      <c r="E39" s="10">
        <v>4.8499999999999996</v>
      </c>
      <c r="G39" t="s">
        <v>232</v>
      </c>
      <c r="H39" s="1">
        <v>71609</v>
      </c>
      <c r="I39" s="6" t="e">
        <f t="shared" si="6"/>
        <v>#VALUE!</v>
      </c>
      <c r="J39" s="6" t="e">
        <f t="shared" si="15"/>
        <v>#VALUE!</v>
      </c>
      <c r="K39" s="5" t="e">
        <f t="shared" si="0"/>
        <v>#VALUE!</v>
      </c>
      <c r="L39" s="5" t="e">
        <f t="shared" si="1"/>
        <v>#VALUE!</v>
      </c>
      <c r="M39" s="3"/>
      <c r="N39" s="3">
        <v>163.44999999999999</v>
      </c>
      <c r="O39" s="11">
        <v>105.21</v>
      </c>
      <c r="P39" s="7">
        <f t="shared" si="7"/>
        <v>163.44999999999999</v>
      </c>
      <c r="Q39" s="7">
        <f t="shared" si="8"/>
        <v>-58.239999999999995</v>
      </c>
      <c r="R39" s="5" t="e">
        <f t="shared" si="2"/>
        <v>#DIV/0!</v>
      </c>
      <c r="S39" s="5">
        <f t="shared" si="3"/>
        <v>-0.35631691648822267</v>
      </c>
      <c r="U39">
        <v>11211984</v>
      </c>
      <c r="V39" s="1">
        <f>VLOOKUP(A39,[2]Sheet1!$A:$B,2,0)</f>
        <v>10520617</v>
      </c>
      <c r="W39" s="6">
        <f t="shared" si="9"/>
        <v>11211984</v>
      </c>
      <c r="X39" s="6">
        <f t="shared" si="10"/>
        <v>-691367</v>
      </c>
      <c r="Y39" s="5" t="e">
        <f t="shared" si="4"/>
        <v>#DIV/0!</v>
      </c>
      <c r="Z39" s="5">
        <f t="shared" si="5"/>
        <v>-6.1663216786609756E-2</v>
      </c>
      <c r="AA39" s="9">
        <v>-12692000</v>
      </c>
      <c r="AB39" s="10">
        <v>-10440000</v>
      </c>
      <c r="AD39">
        <v>4808</v>
      </c>
      <c r="AE39" s="1">
        <v>3246</v>
      </c>
      <c r="AF39" s="6">
        <f t="shared" si="11"/>
        <v>4808</v>
      </c>
      <c r="AG39" s="6">
        <f t="shared" si="12"/>
        <v>-1562</v>
      </c>
      <c r="AH39" s="5" t="e">
        <f t="shared" si="13"/>
        <v>#DIV/0!</v>
      </c>
      <c r="AI39" s="5">
        <f t="shared" si="14"/>
        <v>-0.32487520798668884</v>
      </c>
    </row>
    <row r="40" spans="1:35" x14ac:dyDescent="0.25">
      <c r="A40" s="2" t="s">
        <v>38</v>
      </c>
      <c r="B40" t="s">
        <v>52</v>
      </c>
      <c r="C40" t="e">
        <f>VLOOKUP(A40,[1]FO!$A$2:$A$69,2,0)</f>
        <v>#N/A</v>
      </c>
      <c r="D40" s="4">
        <v>-1.1499999999999999</v>
      </c>
      <c r="E40" s="10">
        <v>37.049999999999997</v>
      </c>
      <c r="G40" t="s">
        <v>232</v>
      </c>
      <c r="H40" s="1">
        <v>663204</v>
      </c>
      <c r="I40" s="6" t="e">
        <f t="shared" si="6"/>
        <v>#VALUE!</v>
      </c>
      <c r="J40" s="6" t="e">
        <f t="shared" si="15"/>
        <v>#VALUE!</v>
      </c>
      <c r="K40" s="5" t="e">
        <f t="shared" si="0"/>
        <v>#VALUE!</v>
      </c>
      <c r="L40" s="5" t="e">
        <f t="shared" si="1"/>
        <v>#VALUE!</v>
      </c>
      <c r="M40" s="3"/>
      <c r="N40" s="3">
        <v>1494.95</v>
      </c>
      <c r="O40" s="11">
        <v>326.18</v>
      </c>
      <c r="P40" s="7">
        <f t="shared" si="7"/>
        <v>1494.95</v>
      </c>
      <c r="Q40" s="7">
        <f t="shared" si="8"/>
        <v>-1168.77</v>
      </c>
      <c r="R40" s="5" t="e">
        <f t="shared" si="2"/>
        <v>#DIV/0!</v>
      </c>
      <c r="S40" s="5">
        <f t="shared" si="3"/>
        <v>-0.78181210073915508</v>
      </c>
      <c r="U40">
        <v>7100366</v>
      </c>
      <c r="V40" s="1">
        <f>VLOOKUP(A40,[2]Sheet1!$A:$B,2,0)</f>
        <v>32617901</v>
      </c>
      <c r="W40" s="6">
        <f t="shared" si="9"/>
        <v>7100366</v>
      </c>
      <c r="X40" s="6">
        <f t="shared" si="10"/>
        <v>25517535</v>
      </c>
      <c r="Y40" s="5" t="e">
        <f t="shared" si="4"/>
        <v>#DIV/0!</v>
      </c>
      <c r="Z40" s="5">
        <f t="shared" si="5"/>
        <v>3.593833754485332</v>
      </c>
      <c r="AA40" s="9">
        <v>-5120000</v>
      </c>
      <c r="AB40" s="10">
        <v>-7867500</v>
      </c>
      <c r="AD40">
        <v>74178</v>
      </c>
      <c r="AE40" s="1">
        <v>40237</v>
      </c>
      <c r="AF40" s="6">
        <f t="shared" si="11"/>
        <v>74178</v>
      </c>
      <c r="AG40" s="6">
        <f t="shared" si="12"/>
        <v>-33941</v>
      </c>
      <c r="AH40" s="5" t="e">
        <f t="shared" si="13"/>
        <v>#DIV/0!</v>
      </c>
      <c r="AI40" s="5">
        <f t="shared" si="14"/>
        <v>-0.45756154115775566</v>
      </c>
    </row>
    <row r="41" spans="1:35" x14ac:dyDescent="0.25">
      <c r="A41" s="2" t="s">
        <v>39</v>
      </c>
      <c r="B41" t="s">
        <v>52</v>
      </c>
      <c r="C41" t="e">
        <f>VLOOKUP(A41,[1]FO!$A$2:$A$69,2,0)</f>
        <v>#N/A</v>
      </c>
      <c r="D41" s="4">
        <v>5.25</v>
      </c>
      <c r="E41" s="10">
        <v>0.1</v>
      </c>
      <c r="G41" t="s">
        <v>232</v>
      </c>
      <c r="H41" s="1">
        <v>366664</v>
      </c>
      <c r="I41" s="6" t="e">
        <f t="shared" si="6"/>
        <v>#VALUE!</v>
      </c>
      <c r="J41" s="6" t="e">
        <f t="shared" si="15"/>
        <v>#VALUE!</v>
      </c>
      <c r="K41" s="5" t="e">
        <f t="shared" si="0"/>
        <v>#VALUE!</v>
      </c>
      <c r="L41" s="5" t="e">
        <f t="shared" si="1"/>
        <v>#VALUE!</v>
      </c>
      <c r="M41" s="3"/>
      <c r="N41" s="3">
        <v>195.9</v>
      </c>
      <c r="O41" s="11">
        <v>630.69000000000005</v>
      </c>
      <c r="P41" s="7">
        <f t="shared" si="7"/>
        <v>195.9</v>
      </c>
      <c r="Q41" s="7">
        <f t="shared" si="8"/>
        <v>434.79000000000008</v>
      </c>
      <c r="R41" s="5" t="e">
        <f t="shared" si="2"/>
        <v>#DIV/0!</v>
      </c>
      <c r="S41" s="5">
        <f t="shared" si="3"/>
        <v>2.2194486983154675</v>
      </c>
      <c r="U41">
        <v>16604968</v>
      </c>
      <c r="V41" s="1">
        <f>VLOOKUP(A41,[2]Sheet1!$A:$B,2,0)</f>
        <v>63069460</v>
      </c>
      <c r="W41" s="6">
        <f t="shared" si="9"/>
        <v>16604968</v>
      </c>
      <c r="X41" s="6">
        <f t="shared" si="10"/>
        <v>46464492</v>
      </c>
      <c r="Y41" s="5" t="e">
        <f t="shared" si="4"/>
        <v>#DIV/0!</v>
      </c>
      <c r="Z41" s="5">
        <f t="shared" si="5"/>
        <v>2.7982283374469619</v>
      </c>
      <c r="AA41" s="9">
        <v>-19506000</v>
      </c>
      <c r="AB41" s="10">
        <v>-19896000</v>
      </c>
      <c r="AD41">
        <v>21683</v>
      </c>
      <c r="AE41" s="1">
        <v>16344</v>
      </c>
      <c r="AF41" s="6">
        <f t="shared" si="11"/>
        <v>21683</v>
      </c>
      <c r="AG41" s="6">
        <f t="shared" si="12"/>
        <v>-5339</v>
      </c>
      <c r="AH41" s="5" t="e">
        <f t="shared" si="13"/>
        <v>#DIV/0!</v>
      </c>
      <c r="AI41" s="5">
        <f t="shared" si="14"/>
        <v>-0.24622976525388554</v>
      </c>
    </row>
    <row r="42" spans="1:35" x14ac:dyDescent="0.25">
      <c r="A42" s="2" t="s">
        <v>40</v>
      </c>
      <c r="B42" t="s">
        <v>52</v>
      </c>
      <c r="C42" t="e">
        <f>VLOOKUP(A42,[1]FO!$A$2:$A$69,2,0)</f>
        <v>#N/A</v>
      </c>
      <c r="D42" s="4">
        <v>4.8499999999999996</v>
      </c>
      <c r="E42" s="10">
        <v>-11.65</v>
      </c>
      <c r="G42" t="s">
        <v>232</v>
      </c>
      <c r="H42" s="1">
        <v>248711</v>
      </c>
      <c r="I42" s="6" t="e">
        <f t="shared" si="6"/>
        <v>#VALUE!</v>
      </c>
      <c r="J42" s="6" t="e">
        <f t="shared" si="15"/>
        <v>#VALUE!</v>
      </c>
      <c r="K42" s="5" t="e">
        <f t="shared" si="0"/>
        <v>#VALUE!</v>
      </c>
      <c r="L42" s="5" t="e">
        <f t="shared" si="1"/>
        <v>#VALUE!</v>
      </c>
      <c r="M42" s="3"/>
      <c r="N42" s="3">
        <v>485</v>
      </c>
      <c r="O42" s="11">
        <v>184.72</v>
      </c>
      <c r="P42" s="7">
        <f t="shared" si="7"/>
        <v>485</v>
      </c>
      <c r="Q42" s="7">
        <f t="shared" si="8"/>
        <v>-300.27999999999997</v>
      </c>
      <c r="R42" s="5" t="e">
        <f t="shared" si="2"/>
        <v>#DIV/0!</v>
      </c>
      <c r="S42" s="5">
        <f t="shared" si="3"/>
        <v>-0.6191340206185566</v>
      </c>
      <c r="U42">
        <v>2713603</v>
      </c>
      <c r="V42" s="1">
        <f>VLOOKUP(A42,[2]Sheet1!$A:$B,2,0)</f>
        <v>18471937</v>
      </c>
      <c r="W42" s="6">
        <f t="shared" si="9"/>
        <v>2713603</v>
      </c>
      <c r="X42" s="6">
        <f t="shared" si="10"/>
        <v>15758334</v>
      </c>
      <c r="Y42" s="5" t="e">
        <f t="shared" si="4"/>
        <v>#DIV/0!</v>
      </c>
      <c r="Z42" s="5">
        <f t="shared" si="5"/>
        <v>5.807162654227608</v>
      </c>
      <c r="AA42" s="9">
        <v>-14948750</v>
      </c>
      <c r="AB42" s="10">
        <v>-5447500</v>
      </c>
      <c r="AD42">
        <v>22425</v>
      </c>
      <c r="AE42" s="1">
        <v>11020</v>
      </c>
      <c r="AF42" s="6">
        <f t="shared" si="11"/>
        <v>22425</v>
      </c>
      <c r="AG42" s="6">
        <f t="shared" si="12"/>
        <v>-11405</v>
      </c>
      <c r="AH42" s="5" t="e">
        <f t="shared" si="13"/>
        <v>#DIV/0!</v>
      </c>
      <c r="AI42" s="5">
        <f t="shared" si="14"/>
        <v>-0.50858416945373464</v>
      </c>
    </row>
    <row r="43" spans="1:35" x14ac:dyDescent="0.25">
      <c r="A43" s="2" t="s">
        <v>41</v>
      </c>
      <c r="B43" t="s">
        <v>52</v>
      </c>
      <c r="C43" t="e">
        <f>VLOOKUP(A43,[1]FO!$A$2:$A$69,2,0)</f>
        <v>#N/A</v>
      </c>
      <c r="D43" s="4">
        <v>1.2</v>
      </c>
      <c r="E43" s="10">
        <v>15.6</v>
      </c>
      <c r="G43" t="s">
        <v>232</v>
      </c>
      <c r="H43" s="1">
        <v>519684</v>
      </c>
      <c r="I43" s="6" t="e">
        <f t="shared" si="6"/>
        <v>#VALUE!</v>
      </c>
      <c r="J43" s="6" t="e">
        <f t="shared" si="15"/>
        <v>#VALUE!</v>
      </c>
      <c r="K43" s="5" t="e">
        <f t="shared" si="0"/>
        <v>#VALUE!</v>
      </c>
      <c r="L43" s="5" t="e">
        <f t="shared" si="1"/>
        <v>#VALUE!</v>
      </c>
      <c r="M43" s="3"/>
      <c r="N43" s="3">
        <v>93.75</v>
      </c>
      <c r="O43" s="11">
        <v>1706.45</v>
      </c>
      <c r="P43" s="7">
        <f t="shared" si="7"/>
        <v>93.75</v>
      </c>
      <c r="Q43" s="7">
        <f t="shared" si="8"/>
        <v>1612.7</v>
      </c>
      <c r="R43" s="5" t="e">
        <f t="shared" si="2"/>
        <v>#DIV/0!</v>
      </c>
      <c r="S43" s="5">
        <f t="shared" si="3"/>
        <v>17.202133333333332</v>
      </c>
      <c r="U43">
        <v>5734888</v>
      </c>
      <c r="V43" s="1">
        <f>VLOOKUP(A43,[2]Sheet1!$A:$B,2,0)</f>
        <v>170645234</v>
      </c>
      <c r="W43" s="6">
        <f t="shared" si="9"/>
        <v>5734888</v>
      </c>
      <c r="X43" s="6">
        <f t="shared" si="10"/>
        <v>164910346</v>
      </c>
      <c r="Y43" s="5" t="e">
        <f t="shared" si="4"/>
        <v>#DIV/0!</v>
      </c>
      <c r="Z43" s="5">
        <f t="shared" si="5"/>
        <v>28.755634983630021</v>
      </c>
      <c r="AA43" s="9">
        <v>-17647200</v>
      </c>
      <c r="AB43" s="10">
        <v>-10358700</v>
      </c>
      <c r="AD43">
        <v>9896</v>
      </c>
      <c r="AE43" s="1">
        <v>11951</v>
      </c>
      <c r="AF43" s="6">
        <f t="shared" si="11"/>
        <v>9896</v>
      </c>
      <c r="AG43" s="6">
        <f t="shared" si="12"/>
        <v>2055</v>
      </c>
      <c r="AH43" s="5" t="e">
        <f t="shared" si="13"/>
        <v>#DIV/0!</v>
      </c>
      <c r="AI43" s="5">
        <f t="shared" si="14"/>
        <v>0.20765966046887632</v>
      </c>
    </row>
    <row r="44" spans="1:35" x14ac:dyDescent="0.25">
      <c r="A44" s="2" t="s">
        <v>43</v>
      </c>
      <c r="B44" t="s">
        <v>52</v>
      </c>
      <c r="C44" t="e">
        <f>VLOOKUP(A44,[1]FO!$A$2:$A$69,2,0)</f>
        <v>#N/A</v>
      </c>
      <c r="D44" s="4">
        <v>8.9</v>
      </c>
      <c r="E44" s="10">
        <v>14.9</v>
      </c>
      <c r="G44" t="s">
        <v>233</v>
      </c>
      <c r="H44" s="1">
        <v>558</v>
      </c>
      <c r="I44" s="6" t="e">
        <f t="shared" si="6"/>
        <v>#VALUE!</v>
      </c>
      <c r="J44" s="6" t="e">
        <f t="shared" si="15"/>
        <v>#VALUE!</v>
      </c>
      <c r="K44" s="5" t="e">
        <f t="shared" si="0"/>
        <v>#VALUE!</v>
      </c>
      <c r="L44" s="5" t="e">
        <f t="shared" si="1"/>
        <v>#VALUE!</v>
      </c>
      <c r="M44" s="3"/>
      <c r="N44" s="3">
        <v>304.5</v>
      </c>
      <c r="O44" s="11">
        <v>236.36</v>
      </c>
      <c r="P44" s="7">
        <f t="shared" si="7"/>
        <v>304.5</v>
      </c>
      <c r="Q44" s="7">
        <f t="shared" si="8"/>
        <v>-68.139999999999986</v>
      </c>
      <c r="R44" s="5" t="e">
        <f t="shared" si="2"/>
        <v>#DIV/0!</v>
      </c>
      <c r="S44" s="5">
        <f t="shared" si="3"/>
        <v>-0.22377668308702786</v>
      </c>
      <c r="U44">
        <v>10037</v>
      </c>
      <c r="V44" s="1">
        <f>VLOOKUP(A44,[2]Sheet1!$A:$B,2,0)</f>
        <v>121700</v>
      </c>
      <c r="W44" s="6">
        <f t="shared" si="9"/>
        <v>10037</v>
      </c>
      <c r="X44" s="6">
        <f t="shared" si="10"/>
        <v>111663</v>
      </c>
      <c r="Y44" s="5" t="e">
        <f t="shared" si="4"/>
        <v>#DIV/0!</v>
      </c>
      <c r="Z44" s="5">
        <f t="shared" si="5"/>
        <v>11.125136993125436</v>
      </c>
      <c r="AA44" s="9">
        <v>-4263000</v>
      </c>
      <c r="AB44" s="10">
        <v>-4101000</v>
      </c>
      <c r="AD44">
        <v>9089</v>
      </c>
      <c r="AE44" s="1">
        <v>9876</v>
      </c>
      <c r="AF44" s="6">
        <f t="shared" si="11"/>
        <v>9089</v>
      </c>
      <c r="AG44" s="6">
        <f t="shared" si="12"/>
        <v>787</v>
      </c>
      <c r="AH44" s="5" t="e">
        <f t="shared" si="13"/>
        <v>#DIV/0!</v>
      </c>
      <c r="AI44" s="5">
        <f t="shared" si="14"/>
        <v>8.6588183518538892E-2</v>
      </c>
    </row>
    <row r="45" spans="1:35" x14ac:dyDescent="0.25">
      <c r="A45" s="2" t="s">
        <v>44</v>
      </c>
      <c r="B45" t="s">
        <v>52</v>
      </c>
      <c r="C45" t="e">
        <f>VLOOKUP(A45,[1]FO!$A$2:$A$69,2,0)</f>
        <v>#N/A</v>
      </c>
      <c r="D45" s="4">
        <v>43.95</v>
      </c>
      <c r="E45" s="10">
        <v>113.9</v>
      </c>
      <c r="G45" t="s">
        <v>232</v>
      </c>
      <c r="H45" s="1">
        <v>241064</v>
      </c>
      <c r="I45" s="6" t="e">
        <f t="shared" si="6"/>
        <v>#VALUE!</v>
      </c>
      <c r="J45" s="6" t="e">
        <f t="shared" si="15"/>
        <v>#VALUE!</v>
      </c>
      <c r="K45" s="5" t="e">
        <f t="shared" si="0"/>
        <v>#VALUE!</v>
      </c>
      <c r="L45" s="5" t="e">
        <f t="shared" si="1"/>
        <v>#VALUE!</v>
      </c>
      <c r="M45" s="3"/>
      <c r="N45" s="3">
        <v>2032</v>
      </c>
      <c r="O45" s="11">
        <v>59.16</v>
      </c>
      <c r="P45" s="7">
        <f t="shared" si="7"/>
        <v>2032</v>
      </c>
      <c r="Q45" s="7">
        <f t="shared" si="8"/>
        <v>-1972.84</v>
      </c>
      <c r="R45" s="5" t="e">
        <f t="shared" si="2"/>
        <v>#DIV/0!</v>
      </c>
      <c r="S45" s="5">
        <f t="shared" si="3"/>
        <v>-0.97088582677165347</v>
      </c>
      <c r="U45">
        <v>1119539</v>
      </c>
      <c r="V45" s="1">
        <f>VLOOKUP(A45,[2]Sheet1!$A:$B,2,0)</f>
        <v>5915950</v>
      </c>
      <c r="W45" s="6">
        <f t="shared" si="9"/>
        <v>1119539</v>
      </c>
      <c r="X45" s="6">
        <f t="shared" si="10"/>
        <v>4796411</v>
      </c>
      <c r="Y45" s="5" t="e">
        <f t="shared" si="4"/>
        <v>#DIV/0!</v>
      </c>
      <c r="Z45" s="5">
        <f t="shared" si="5"/>
        <v>4.2842732589038883</v>
      </c>
      <c r="AA45" s="9">
        <v>-2381750</v>
      </c>
      <c r="AB45" s="10">
        <v>-1171750</v>
      </c>
      <c r="AD45">
        <v>16833</v>
      </c>
      <c r="AE45" s="1">
        <v>11696</v>
      </c>
      <c r="AF45" s="6">
        <f t="shared" si="11"/>
        <v>16833</v>
      </c>
      <c r="AG45" s="6">
        <f t="shared" si="12"/>
        <v>-5137</v>
      </c>
      <c r="AH45" s="5" t="e">
        <f t="shared" si="13"/>
        <v>#DIV/0!</v>
      </c>
      <c r="AI45" s="5">
        <f t="shared" si="14"/>
        <v>-0.30517435988831459</v>
      </c>
    </row>
    <row r="46" spans="1:35" x14ac:dyDescent="0.25">
      <c r="A46" s="2" t="s">
        <v>47</v>
      </c>
      <c r="B46" t="s">
        <v>52</v>
      </c>
      <c r="C46" t="e">
        <f>VLOOKUP(A46,[1]FO!$A$2:$A$69,2,0)</f>
        <v>#N/A</v>
      </c>
      <c r="D46" s="4">
        <v>-0.5</v>
      </c>
      <c r="E46" s="10">
        <v>52.4</v>
      </c>
      <c r="G46" t="s">
        <v>232</v>
      </c>
      <c r="H46" s="1">
        <v>250740</v>
      </c>
      <c r="I46" s="6" t="e">
        <f t="shared" si="6"/>
        <v>#VALUE!</v>
      </c>
      <c r="J46" s="6" t="e">
        <f t="shared" si="15"/>
        <v>#VALUE!</v>
      </c>
      <c r="K46" s="5" t="e">
        <f t="shared" si="0"/>
        <v>#VALUE!</v>
      </c>
      <c r="L46" s="5" t="e">
        <f t="shared" si="1"/>
        <v>#VALUE!</v>
      </c>
      <c r="M46" s="3"/>
      <c r="N46" s="3">
        <v>429.35</v>
      </c>
      <c r="O46" s="11">
        <v>182.24</v>
      </c>
      <c r="P46" s="7">
        <f t="shared" si="7"/>
        <v>429.35</v>
      </c>
      <c r="Q46" s="7">
        <f t="shared" si="8"/>
        <v>-247.11</v>
      </c>
      <c r="R46" s="5" t="e">
        <f t="shared" si="2"/>
        <v>#DIV/0!</v>
      </c>
      <c r="S46" s="5">
        <f t="shared" si="3"/>
        <v>-0.57554442762315128</v>
      </c>
      <c r="U46">
        <v>1942681</v>
      </c>
      <c r="V46" s="1">
        <f>VLOOKUP(A46,[2]Sheet1!$A:$B,2,0)</f>
        <v>18224218</v>
      </c>
      <c r="W46" s="6">
        <f t="shared" si="9"/>
        <v>1942681</v>
      </c>
      <c r="X46" s="6">
        <f t="shared" si="10"/>
        <v>16281537</v>
      </c>
      <c r="Y46" s="5" t="e">
        <f t="shared" si="4"/>
        <v>#DIV/0!</v>
      </c>
      <c r="Z46" s="5">
        <f t="shared" si="5"/>
        <v>8.3809627005154219</v>
      </c>
      <c r="AA46" s="9">
        <v>-2484000</v>
      </c>
      <c r="AB46" s="10">
        <v>-3408300</v>
      </c>
      <c r="AD46">
        <v>9110</v>
      </c>
      <c r="AE46" s="1">
        <v>8563</v>
      </c>
      <c r="AF46" s="6">
        <f t="shared" si="11"/>
        <v>9110</v>
      </c>
      <c r="AG46" s="6">
        <f t="shared" si="12"/>
        <v>-547</v>
      </c>
      <c r="AH46" s="5" t="e">
        <f t="shared" si="13"/>
        <v>#DIV/0!</v>
      </c>
      <c r="AI46" s="5">
        <f t="shared" si="14"/>
        <v>-6.0043907793633368E-2</v>
      </c>
    </row>
    <row r="47" spans="1:35" x14ac:dyDescent="0.25">
      <c r="A47" s="2" t="s">
        <v>45</v>
      </c>
      <c r="B47" t="s">
        <v>52</v>
      </c>
      <c r="C47" t="e">
        <f>VLOOKUP(A47,[1]FO!$A$2:$A$69,2,0)</f>
        <v>#N/A</v>
      </c>
      <c r="D47" s="4">
        <v>11.1</v>
      </c>
      <c r="E47" s="10">
        <v>17.25</v>
      </c>
      <c r="G47" t="s">
        <v>232</v>
      </c>
      <c r="H47" s="1">
        <v>149585</v>
      </c>
      <c r="I47" s="6" t="e">
        <f t="shared" si="6"/>
        <v>#VALUE!</v>
      </c>
      <c r="J47" s="6" t="e">
        <f t="shared" si="15"/>
        <v>#VALUE!</v>
      </c>
      <c r="K47" s="5" t="e">
        <f t="shared" si="0"/>
        <v>#VALUE!</v>
      </c>
      <c r="L47" s="5" t="e">
        <f t="shared" si="1"/>
        <v>#VALUE!</v>
      </c>
      <c r="M47" s="3"/>
      <c r="N47" s="3">
        <v>552.9</v>
      </c>
      <c r="O47" s="11">
        <v>89.32</v>
      </c>
      <c r="P47" s="7">
        <f t="shared" si="7"/>
        <v>552.9</v>
      </c>
      <c r="Q47" s="7">
        <f t="shared" si="8"/>
        <v>-463.58</v>
      </c>
      <c r="R47" s="5" t="e">
        <f t="shared" si="2"/>
        <v>#DIV/0!</v>
      </c>
      <c r="S47" s="5">
        <f t="shared" si="3"/>
        <v>-0.83845179960209804</v>
      </c>
      <c r="U47">
        <v>2171980</v>
      </c>
      <c r="V47" s="1">
        <f>VLOOKUP(A47,[2]Sheet1!$A:$B,2,0)</f>
        <v>8932244</v>
      </c>
      <c r="W47" s="6">
        <f t="shared" si="9"/>
        <v>2171980</v>
      </c>
      <c r="X47" s="6">
        <f t="shared" si="10"/>
        <v>6760264</v>
      </c>
      <c r="Y47" s="5" t="e">
        <f t="shared" si="4"/>
        <v>#DIV/0!</v>
      </c>
      <c r="Z47" s="5">
        <f t="shared" si="5"/>
        <v>3.112489065276844</v>
      </c>
      <c r="AA47" s="9">
        <v>-4500000</v>
      </c>
      <c r="AB47" s="10">
        <v>-2197200</v>
      </c>
      <c r="AD47">
        <v>7794</v>
      </c>
      <c r="AE47" s="1">
        <v>4548</v>
      </c>
      <c r="AF47" s="6">
        <f t="shared" si="11"/>
        <v>7794</v>
      </c>
      <c r="AG47" s="6">
        <f t="shared" si="12"/>
        <v>-3246</v>
      </c>
      <c r="AH47" s="5" t="e">
        <f t="shared" si="13"/>
        <v>#DIV/0!</v>
      </c>
      <c r="AI47" s="5">
        <f t="shared" si="14"/>
        <v>-0.41647421093148573</v>
      </c>
    </row>
    <row r="48" spans="1:35" x14ac:dyDescent="0.25">
      <c r="A48" s="2" t="s">
        <v>46</v>
      </c>
      <c r="B48" t="s">
        <v>52</v>
      </c>
      <c r="C48" t="e">
        <f>VLOOKUP(A48,[1]FO!$A$2:$A$69,2,0)</f>
        <v>#N/A</v>
      </c>
      <c r="D48" s="4">
        <v>51.95</v>
      </c>
      <c r="E48" s="10">
        <v>97.65</v>
      </c>
      <c r="G48" t="s">
        <v>232</v>
      </c>
      <c r="H48" s="1">
        <v>72048</v>
      </c>
      <c r="I48" s="6" t="e">
        <f t="shared" si="6"/>
        <v>#VALUE!</v>
      </c>
      <c r="J48" s="6" t="e">
        <f t="shared" si="15"/>
        <v>#VALUE!</v>
      </c>
      <c r="K48" s="5" t="e">
        <f t="shared" si="0"/>
        <v>#VALUE!</v>
      </c>
      <c r="L48" s="5" t="e">
        <f t="shared" si="1"/>
        <v>#VALUE!</v>
      </c>
      <c r="M48" s="3"/>
      <c r="N48" s="3">
        <v>3565.95</v>
      </c>
      <c r="O48" s="11">
        <v>8.5399999999999991</v>
      </c>
      <c r="P48" s="7">
        <f t="shared" si="7"/>
        <v>3565.95</v>
      </c>
      <c r="Q48" s="7">
        <f t="shared" si="8"/>
        <v>-3557.41</v>
      </c>
      <c r="R48" s="5" t="e">
        <f t="shared" si="2"/>
        <v>#DIV/0!</v>
      </c>
      <c r="S48" s="5">
        <f t="shared" si="3"/>
        <v>-0.99760512626368847</v>
      </c>
      <c r="U48">
        <v>440234</v>
      </c>
      <c r="V48" s="1">
        <f>VLOOKUP(A48,[2]Sheet1!$A:$B,2,0)</f>
        <v>854108</v>
      </c>
      <c r="W48" s="6">
        <f t="shared" si="9"/>
        <v>440234</v>
      </c>
      <c r="X48" s="6">
        <f t="shared" si="10"/>
        <v>413874</v>
      </c>
      <c r="Y48" s="5" t="e">
        <f t="shared" si="4"/>
        <v>#DIV/0!</v>
      </c>
      <c r="Z48" s="5">
        <f t="shared" si="5"/>
        <v>0.94012275289959435</v>
      </c>
      <c r="AA48" s="9">
        <v>-529400</v>
      </c>
      <c r="AB48" s="10">
        <v>-245400</v>
      </c>
      <c r="AD48">
        <v>4660</v>
      </c>
      <c r="AE48" s="1">
        <v>2748</v>
      </c>
      <c r="AF48" s="6">
        <f t="shared" si="11"/>
        <v>4660</v>
      </c>
      <c r="AG48" s="6">
        <f t="shared" si="12"/>
        <v>-1912</v>
      </c>
      <c r="AH48" s="5" t="e">
        <f t="shared" si="13"/>
        <v>#DIV/0!</v>
      </c>
      <c r="AI48" s="5">
        <f t="shared" si="14"/>
        <v>-0.41030042918454934</v>
      </c>
    </row>
    <row r="49" spans="1:35" x14ac:dyDescent="0.25">
      <c r="A49" s="2" t="s">
        <v>48</v>
      </c>
      <c r="B49" t="s">
        <v>52</v>
      </c>
      <c r="C49" t="e">
        <f>VLOOKUP(A49,[1]FO!$A$2:$A$69,2,0)</f>
        <v>#N/A</v>
      </c>
      <c r="D49" s="4">
        <v>2.4</v>
      </c>
      <c r="E49" s="10">
        <v>9.65</v>
      </c>
      <c r="G49" t="s">
        <v>232</v>
      </c>
      <c r="H49" s="1">
        <v>217388</v>
      </c>
      <c r="I49" s="6" t="e">
        <f t="shared" si="6"/>
        <v>#VALUE!</v>
      </c>
      <c r="J49" s="6" t="e">
        <f t="shared" si="15"/>
        <v>#VALUE!</v>
      </c>
      <c r="K49" s="5" t="e">
        <f t="shared" si="0"/>
        <v>#VALUE!</v>
      </c>
      <c r="L49" s="5" t="e">
        <f t="shared" si="1"/>
        <v>#VALUE!</v>
      </c>
      <c r="M49" s="3"/>
      <c r="N49" s="3">
        <v>91</v>
      </c>
      <c r="O49" s="11">
        <v>636.87</v>
      </c>
      <c r="P49" s="7">
        <f t="shared" si="7"/>
        <v>91</v>
      </c>
      <c r="Q49" s="7">
        <f t="shared" si="8"/>
        <v>545.87</v>
      </c>
      <c r="R49" s="5" t="e">
        <f t="shared" si="2"/>
        <v>#DIV/0!</v>
      </c>
      <c r="S49" s="5">
        <f t="shared" si="3"/>
        <v>5.9985714285714282</v>
      </c>
      <c r="U49">
        <v>11232964</v>
      </c>
      <c r="V49" s="1">
        <f>VLOOKUP(A49,[2]Sheet1!$A:$B,2,0)</f>
        <v>63687038</v>
      </c>
      <c r="W49" s="6">
        <f t="shared" si="9"/>
        <v>11232964</v>
      </c>
      <c r="X49" s="6">
        <f t="shared" si="10"/>
        <v>52454074</v>
      </c>
      <c r="Y49" s="5" t="e">
        <f t="shared" si="4"/>
        <v>#DIV/0!</v>
      </c>
      <c r="Z49" s="5">
        <f t="shared" si="5"/>
        <v>4.6696556670171825</v>
      </c>
      <c r="AA49" s="9">
        <v>-33901000</v>
      </c>
      <c r="AB49" s="10">
        <v>-14385000</v>
      </c>
      <c r="AD49">
        <v>14949</v>
      </c>
      <c r="AE49" s="1">
        <v>8451</v>
      </c>
      <c r="AF49" s="6">
        <f t="shared" si="11"/>
        <v>14949</v>
      </c>
      <c r="AG49" s="6">
        <f t="shared" si="12"/>
        <v>-6498</v>
      </c>
      <c r="AH49" s="5" t="e">
        <f t="shared" si="13"/>
        <v>#DIV/0!</v>
      </c>
      <c r="AI49" s="5">
        <f t="shared" si="14"/>
        <v>-0.43467790487658037</v>
      </c>
    </row>
    <row r="50" spans="1:35" x14ac:dyDescent="0.25">
      <c r="A50" s="2" t="s">
        <v>49</v>
      </c>
      <c r="B50" t="s">
        <v>52</v>
      </c>
      <c r="C50" t="e">
        <f>VLOOKUP(A50,[1]FO!$A$2:$A$69,2,0)</f>
        <v>#N/A</v>
      </c>
      <c r="D50" s="4">
        <v>1.1000000000000001</v>
      </c>
      <c r="E50" s="10">
        <v>10.5</v>
      </c>
      <c r="G50" t="s">
        <v>232</v>
      </c>
      <c r="H50" s="1">
        <v>83434</v>
      </c>
      <c r="I50" s="6" t="e">
        <f t="shared" si="6"/>
        <v>#VALUE!</v>
      </c>
      <c r="J50" s="6" t="e">
        <f t="shared" si="15"/>
        <v>#VALUE!</v>
      </c>
      <c r="K50" s="5" t="e">
        <f t="shared" si="0"/>
        <v>#VALUE!</v>
      </c>
      <c r="L50" s="5" t="e">
        <f t="shared" si="1"/>
        <v>#VALUE!</v>
      </c>
      <c r="M50" s="3"/>
      <c r="N50" s="3">
        <v>192.6</v>
      </c>
      <c r="O50" s="11">
        <v>88.34</v>
      </c>
      <c r="P50" s="7">
        <f t="shared" si="7"/>
        <v>192.6</v>
      </c>
      <c r="Q50" s="7">
        <f t="shared" si="8"/>
        <v>-104.25999999999999</v>
      </c>
      <c r="R50" s="5" t="e">
        <f t="shared" si="2"/>
        <v>#DIV/0!</v>
      </c>
      <c r="S50" s="5">
        <f t="shared" si="3"/>
        <v>-0.54132917964693661</v>
      </c>
      <c r="U50">
        <v>3419558</v>
      </c>
      <c r="V50" s="1">
        <f>VLOOKUP(A50,[2]Sheet1!$A:$B,2,0)</f>
        <v>8833932</v>
      </c>
      <c r="W50" s="6">
        <f t="shared" si="9"/>
        <v>3419558</v>
      </c>
      <c r="X50" s="6">
        <f t="shared" si="10"/>
        <v>5414374</v>
      </c>
      <c r="Y50" s="5" t="e">
        <f t="shared" si="4"/>
        <v>#DIV/0!</v>
      </c>
      <c r="Z50" s="5">
        <f t="shared" si="5"/>
        <v>1.5833549248177687</v>
      </c>
      <c r="AA50" s="9">
        <v>-5212800</v>
      </c>
      <c r="AB50" s="10">
        <v>-4896000</v>
      </c>
      <c r="AD50">
        <v>2654</v>
      </c>
      <c r="AE50" s="1">
        <v>3052</v>
      </c>
      <c r="AF50" s="6">
        <f t="shared" si="11"/>
        <v>2654</v>
      </c>
      <c r="AG50" s="6">
        <f t="shared" si="12"/>
        <v>398</v>
      </c>
      <c r="AH50" s="5" t="e">
        <f t="shared" si="13"/>
        <v>#DIV/0!</v>
      </c>
      <c r="AI50" s="5">
        <f t="shared" si="14"/>
        <v>0.14996232102486812</v>
      </c>
    </row>
    <row r="51" spans="1:35" x14ac:dyDescent="0.25">
      <c r="A51" s="2" t="s">
        <v>50</v>
      </c>
      <c r="B51" t="s">
        <v>52</v>
      </c>
      <c r="C51" t="e">
        <f>VLOOKUP(A51,[1]FO!$A$2:$A$69,2,0)</f>
        <v>#N/A</v>
      </c>
      <c r="D51" s="4">
        <v>1.05</v>
      </c>
      <c r="E51" s="10">
        <v>-0.2</v>
      </c>
      <c r="G51" t="s">
        <v>232</v>
      </c>
      <c r="H51" s="1">
        <v>106821</v>
      </c>
      <c r="I51" s="6" t="e">
        <f t="shared" si="6"/>
        <v>#VALUE!</v>
      </c>
      <c r="J51" s="6" t="e">
        <f t="shared" si="15"/>
        <v>#VALUE!</v>
      </c>
      <c r="K51" s="5" t="e">
        <f t="shared" si="0"/>
        <v>#VALUE!</v>
      </c>
      <c r="L51" s="5" t="e">
        <f t="shared" si="1"/>
        <v>#VALUE!</v>
      </c>
      <c r="M51" s="3"/>
      <c r="N51" s="3">
        <v>28.95</v>
      </c>
      <c r="O51" s="11">
        <v>320.95</v>
      </c>
      <c r="P51" s="7">
        <f t="shared" si="7"/>
        <v>28.95</v>
      </c>
      <c r="Q51" s="7">
        <f t="shared" si="8"/>
        <v>292</v>
      </c>
      <c r="R51" s="5" t="e">
        <f t="shared" si="2"/>
        <v>#DIV/0!</v>
      </c>
      <c r="S51" s="5">
        <f t="shared" si="3"/>
        <v>10.086355785837652</v>
      </c>
      <c r="U51">
        <v>5243295</v>
      </c>
      <c r="V51" s="1">
        <f>VLOOKUP(A51,[2]Sheet1!$A:$B,2,0)</f>
        <v>32094929</v>
      </c>
      <c r="W51" s="6">
        <f t="shared" si="9"/>
        <v>5243295</v>
      </c>
      <c r="X51" s="6">
        <f t="shared" si="10"/>
        <v>26851634</v>
      </c>
      <c r="Y51" s="5" t="e">
        <f t="shared" si="4"/>
        <v>#DIV/0!</v>
      </c>
      <c r="Z51" s="5">
        <f t="shared" si="5"/>
        <v>5.1211373764016708</v>
      </c>
      <c r="AA51" s="9">
        <v>-3546400</v>
      </c>
      <c r="AB51" s="10">
        <v>-8272000</v>
      </c>
      <c r="AD51">
        <v>2031</v>
      </c>
      <c r="AE51" s="1">
        <v>1801</v>
      </c>
      <c r="AF51" s="6">
        <f t="shared" si="11"/>
        <v>2031</v>
      </c>
      <c r="AG51" s="6">
        <f t="shared" si="12"/>
        <v>-230</v>
      </c>
      <c r="AH51" s="5" t="e">
        <f t="shared" si="13"/>
        <v>#DIV/0!</v>
      </c>
      <c r="AI51" s="5">
        <f t="shared" si="14"/>
        <v>-0.11324470704086657</v>
      </c>
    </row>
    <row r="52" spans="1:35" x14ac:dyDescent="0.25">
      <c r="A52" s="2" t="s">
        <v>51</v>
      </c>
      <c r="B52" t="s">
        <v>52</v>
      </c>
      <c r="C52" t="e">
        <f>VLOOKUP(A52,[1]FO!$A$2:$A$69,2,0)</f>
        <v>#N/A</v>
      </c>
      <c r="D52" s="4">
        <v>6.6</v>
      </c>
      <c r="E52" s="10">
        <v>0.2</v>
      </c>
      <c r="G52" t="s">
        <v>232</v>
      </c>
      <c r="H52" s="1">
        <v>130658</v>
      </c>
      <c r="I52" s="6" t="e">
        <f t="shared" si="6"/>
        <v>#VALUE!</v>
      </c>
      <c r="J52" s="6" t="e">
        <f t="shared" si="15"/>
        <v>#VALUE!</v>
      </c>
      <c r="K52" s="5" t="e">
        <f t="shared" si="0"/>
        <v>#VALUE!</v>
      </c>
      <c r="L52" s="5" t="e">
        <f t="shared" si="1"/>
        <v>#VALUE!</v>
      </c>
      <c r="M52" s="3"/>
      <c r="N52" s="3">
        <v>164</v>
      </c>
      <c r="O52" s="11">
        <v>146.15</v>
      </c>
      <c r="P52" s="7">
        <f t="shared" si="7"/>
        <v>164</v>
      </c>
      <c r="Q52" s="7">
        <f t="shared" si="8"/>
        <v>-17.849999999999994</v>
      </c>
      <c r="R52" s="5" t="e">
        <f t="shared" si="2"/>
        <v>#DIV/0!</v>
      </c>
      <c r="S52" s="5">
        <f t="shared" si="3"/>
        <v>-0.10884146341463412</v>
      </c>
      <c r="U52">
        <v>1617823</v>
      </c>
      <c r="V52" s="1">
        <f>VLOOKUP(A52,[2]Sheet1!$A:$B,2,0)</f>
        <v>14614588</v>
      </c>
      <c r="W52" s="6">
        <f t="shared" si="9"/>
        <v>1617823</v>
      </c>
      <c r="X52" s="6">
        <f t="shared" si="10"/>
        <v>12996765</v>
      </c>
      <c r="Y52" s="5" t="e">
        <f t="shared" si="4"/>
        <v>#DIV/0!</v>
      </c>
      <c r="Z52" s="5">
        <f t="shared" si="5"/>
        <v>8.0334900665894846</v>
      </c>
      <c r="AA52" s="9">
        <v>-5882000</v>
      </c>
      <c r="AB52" s="10">
        <v>-3789300</v>
      </c>
      <c r="AD52">
        <v>7661</v>
      </c>
      <c r="AE52" s="1">
        <v>4668</v>
      </c>
      <c r="AF52" s="6">
        <f t="shared" si="11"/>
        <v>7661</v>
      </c>
      <c r="AG52" s="6">
        <f t="shared" si="12"/>
        <v>-2993</v>
      </c>
      <c r="AH52" s="5" t="e">
        <f t="shared" si="13"/>
        <v>#DIV/0!</v>
      </c>
      <c r="AI52" s="5">
        <f t="shared" si="14"/>
        <v>-0.39068006787625637</v>
      </c>
    </row>
    <row r="53" spans="1:35" x14ac:dyDescent="0.25">
      <c r="A53" s="2" t="s">
        <v>1</v>
      </c>
      <c r="B53" t="s">
        <v>215</v>
      </c>
      <c r="C53" t="e">
        <f>VLOOKUP(A53,[1]FO!$A$2:$A$69,2,0)</f>
        <v>#REF!</v>
      </c>
      <c r="D53" s="4">
        <v>0.4</v>
      </c>
      <c r="E53" s="10">
        <v>47.9</v>
      </c>
      <c r="G53" t="s">
        <v>232</v>
      </c>
      <c r="H53" s="1">
        <v>70667</v>
      </c>
      <c r="I53" s="6" t="e">
        <f t="shared" si="6"/>
        <v>#VALUE!</v>
      </c>
      <c r="J53" s="6" t="e">
        <f t="shared" si="15"/>
        <v>#VALUE!</v>
      </c>
      <c r="K53" s="5" t="e">
        <f t="shared" si="0"/>
        <v>#VALUE!</v>
      </c>
      <c r="L53" s="5" t="e">
        <f t="shared" si="1"/>
        <v>#VALUE!</v>
      </c>
      <c r="M53" s="3"/>
      <c r="N53" s="3">
        <v>1192.8</v>
      </c>
      <c r="O53" s="11">
        <v>19.100000000000001</v>
      </c>
      <c r="P53" s="7">
        <f t="shared" si="7"/>
        <v>1192.8</v>
      </c>
      <c r="Q53" s="7">
        <f t="shared" si="8"/>
        <v>-1173.7</v>
      </c>
      <c r="R53" s="5" t="e">
        <f t="shared" si="2"/>
        <v>#DIV/0!</v>
      </c>
      <c r="S53" s="5">
        <f t="shared" si="3"/>
        <v>-0.98398725687458088</v>
      </c>
      <c r="U53">
        <v>324185</v>
      </c>
      <c r="V53" s="1">
        <f>VLOOKUP(A53,[2]Sheet1!$A:$B,2,0)</f>
        <v>1910083</v>
      </c>
      <c r="W53" s="6">
        <f t="shared" si="9"/>
        <v>324185</v>
      </c>
      <c r="X53" s="6">
        <f t="shared" si="10"/>
        <v>1585898</v>
      </c>
      <c r="Y53" s="5" t="e">
        <f t="shared" si="4"/>
        <v>#DIV/0!</v>
      </c>
      <c r="Z53" s="5">
        <f t="shared" si="5"/>
        <v>4.8919536684300633</v>
      </c>
      <c r="AA53" s="9">
        <v>-530400</v>
      </c>
      <c r="AB53" s="10">
        <v>-138800</v>
      </c>
      <c r="AD53">
        <v>3718</v>
      </c>
      <c r="AE53" s="1">
        <v>2124</v>
      </c>
      <c r="AF53" s="6">
        <f t="shared" si="11"/>
        <v>3718</v>
      </c>
      <c r="AG53" s="6">
        <f t="shared" si="12"/>
        <v>-1594</v>
      </c>
      <c r="AH53" s="5" t="e">
        <f t="shared" si="13"/>
        <v>#DIV/0!</v>
      </c>
      <c r="AI53" s="5">
        <f t="shared" si="14"/>
        <v>-0.42872512103281335</v>
      </c>
    </row>
    <row r="54" spans="1:35" x14ac:dyDescent="0.25">
      <c r="A54" s="2" t="s">
        <v>8</v>
      </c>
      <c r="B54" t="s">
        <v>215</v>
      </c>
      <c r="C54" t="e">
        <f>VLOOKUP(A54,[1]FO!$A$2:$A$69,2,0)</f>
        <v>#REF!</v>
      </c>
      <c r="D54" s="4">
        <v>0.6</v>
      </c>
      <c r="E54" s="10">
        <v>1.1499999999999999</v>
      </c>
      <c r="G54" t="s">
        <v>232</v>
      </c>
      <c r="H54" s="1">
        <v>130449</v>
      </c>
      <c r="I54" s="6" t="e">
        <f t="shared" si="6"/>
        <v>#VALUE!</v>
      </c>
      <c r="J54" s="6" t="e">
        <f t="shared" si="15"/>
        <v>#VALUE!</v>
      </c>
      <c r="K54" s="5" t="e">
        <f t="shared" si="0"/>
        <v>#VALUE!</v>
      </c>
      <c r="L54" s="5" t="e">
        <f t="shared" si="1"/>
        <v>#VALUE!</v>
      </c>
      <c r="M54" s="3"/>
      <c r="N54" s="3">
        <v>51.25</v>
      </c>
      <c r="O54" s="11">
        <v>419.12</v>
      </c>
      <c r="P54" s="7">
        <f t="shared" si="7"/>
        <v>51.25</v>
      </c>
      <c r="Q54" s="7">
        <f t="shared" si="8"/>
        <v>367.87</v>
      </c>
      <c r="R54" s="5" t="e">
        <f t="shared" si="2"/>
        <v>#DIV/0!</v>
      </c>
      <c r="S54" s="5">
        <f t="shared" si="3"/>
        <v>7.1779512195121953</v>
      </c>
      <c r="U54">
        <v>4831520</v>
      </c>
      <c r="V54" s="1">
        <f>VLOOKUP(A54,[2]Sheet1!$A:$B,2,0)</f>
        <v>41912287</v>
      </c>
      <c r="W54" s="6">
        <f t="shared" si="9"/>
        <v>4831520</v>
      </c>
      <c r="X54" s="6">
        <f t="shared" si="10"/>
        <v>37080767</v>
      </c>
      <c r="Y54" s="5" t="e">
        <f t="shared" si="4"/>
        <v>#DIV/0!</v>
      </c>
      <c r="Z54" s="5">
        <f t="shared" si="5"/>
        <v>7.6747621866410567</v>
      </c>
      <c r="AA54" s="9">
        <v>-11782800</v>
      </c>
      <c r="AB54" s="10">
        <v>-8634600</v>
      </c>
      <c r="AD54">
        <v>5366</v>
      </c>
      <c r="AE54" s="1">
        <v>4068</v>
      </c>
      <c r="AF54" s="6">
        <f t="shared" si="11"/>
        <v>5366</v>
      </c>
      <c r="AG54" s="6">
        <f t="shared" si="12"/>
        <v>-1298</v>
      </c>
      <c r="AH54" s="5" t="e">
        <f t="shared" si="13"/>
        <v>#DIV/0!</v>
      </c>
      <c r="AI54" s="5">
        <f t="shared" si="14"/>
        <v>-0.24189340290719344</v>
      </c>
    </row>
    <row r="55" spans="1:35" x14ac:dyDescent="0.25">
      <c r="A55" s="2" t="s">
        <v>42</v>
      </c>
      <c r="B55" t="s">
        <v>215</v>
      </c>
      <c r="C55" t="e">
        <f>VLOOKUP(A55,[1]FO!$A$2:$A$69,2,0)</f>
        <v>#N/A</v>
      </c>
      <c r="D55" s="4">
        <v>0.4</v>
      </c>
      <c r="E55" s="10">
        <v>1</v>
      </c>
      <c r="G55" t="s">
        <v>232</v>
      </c>
      <c r="H55" s="1">
        <v>46265</v>
      </c>
      <c r="I55" s="6" t="e">
        <f t="shared" si="6"/>
        <v>#VALUE!</v>
      </c>
      <c r="J55" s="6" t="e">
        <f t="shared" si="15"/>
        <v>#VALUE!</v>
      </c>
      <c r="K55" s="5" t="e">
        <f t="shared" si="0"/>
        <v>#VALUE!</v>
      </c>
      <c r="L55" s="5" t="e">
        <f t="shared" si="1"/>
        <v>#VALUE!</v>
      </c>
      <c r="M55" s="3"/>
      <c r="N55" s="3">
        <v>32.15</v>
      </c>
      <c r="O55" s="11">
        <v>325.95999999999998</v>
      </c>
      <c r="P55" s="7">
        <f t="shared" si="7"/>
        <v>32.15</v>
      </c>
      <c r="Q55" s="7">
        <f t="shared" si="8"/>
        <v>293.81</v>
      </c>
      <c r="R55" s="5" t="e">
        <f t="shared" si="2"/>
        <v>#DIV/0!</v>
      </c>
      <c r="S55" s="5">
        <f t="shared" si="3"/>
        <v>9.1387247278382588</v>
      </c>
      <c r="U55">
        <v>4052313</v>
      </c>
      <c r="V55" s="1">
        <f>VLOOKUP(A55,[2]Sheet1!$A:$B,2,0)</f>
        <v>32596006</v>
      </c>
      <c r="W55" s="6">
        <f t="shared" si="9"/>
        <v>4052313</v>
      </c>
      <c r="X55" s="6">
        <f t="shared" si="10"/>
        <v>28543693</v>
      </c>
      <c r="Y55" s="5" t="e">
        <f t="shared" si="4"/>
        <v>#DIV/0!</v>
      </c>
      <c r="Z55" s="5">
        <f t="shared" si="5"/>
        <v>7.0438026381476453</v>
      </c>
      <c r="AA55" s="9">
        <v>-10935000</v>
      </c>
      <c r="AB55" s="10">
        <v>-6606000</v>
      </c>
      <c r="AD55">
        <v>2699</v>
      </c>
      <c r="AE55" s="1">
        <v>1382</v>
      </c>
      <c r="AF55" s="6">
        <f t="shared" si="11"/>
        <v>2699</v>
      </c>
      <c r="AG55" s="6">
        <f t="shared" si="12"/>
        <v>-1317</v>
      </c>
      <c r="AH55" s="5" t="e">
        <f t="shared" si="13"/>
        <v>#DIV/0!</v>
      </c>
      <c r="AI55" s="5">
        <f t="shared" si="14"/>
        <v>-0.48795850314931455</v>
      </c>
    </row>
    <row r="56" spans="1:35" x14ac:dyDescent="0.25">
      <c r="A56" s="2" t="s">
        <v>57</v>
      </c>
      <c r="B56" t="s">
        <v>215</v>
      </c>
      <c r="C56" t="e">
        <f>VLOOKUP(A56,[1]FO!$A$2:$A$69,2,0)</f>
        <v>#REF!</v>
      </c>
      <c r="D56" s="4">
        <v>0.7</v>
      </c>
      <c r="E56" s="10">
        <v>1.9</v>
      </c>
      <c r="G56" t="s">
        <v>232</v>
      </c>
      <c r="H56" s="1">
        <v>42301</v>
      </c>
      <c r="I56" s="6" t="e">
        <f t="shared" si="6"/>
        <v>#VALUE!</v>
      </c>
      <c r="J56" s="6" t="e">
        <f t="shared" si="15"/>
        <v>#VALUE!</v>
      </c>
      <c r="K56" s="5" t="e">
        <f t="shared" si="0"/>
        <v>#VALUE!</v>
      </c>
      <c r="L56" s="5" t="e">
        <f t="shared" si="1"/>
        <v>#VALUE!</v>
      </c>
      <c r="M56" s="3"/>
      <c r="N56" s="3">
        <v>147.44999999999999</v>
      </c>
      <c r="O56" s="11">
        <v>49</v>
      </c>
      <c r="P56" s="7">
        <f t="shared" si="7"/>
        <v>147.44999999999999</v>
      </c>
      <c r="Q56" s="7">
        <f t="shared" si="8"/>
        <v>-98.449999999999989</v>
      </c>
      <c r="R56" s="5" t="e">
        <f t="shared" si="2"/>
        <v>#DIV/0!</v>
      </c>
      <c r="S56" s="5">
        <f t="shared" si="3"/>
        <v>-0.66768396066463209</v>
      </c>
      <c r="U56">
        <v>1090566</v>
      </c>
      <c r="V56" s="1">
        <f>VLOOKUP(A56,[2]Sheet1!$A:$B,2,0)</f>
        <v>4900322</v>
      </c>
      <c r="W56" s="6">
        <f t="shared" si="9"/>
        <v>1090566</v>
      </c>
      <c r="X56" s="6">
        <f t="shared" si="10"/>
        <v>3809756</v>
      </c>
      <c r="Y56" s="5" t="e">
        <f t="shared" si="4"/>
        <v>#DIV/0!</v>
      </c>
      <c r="Z56" s="5">
        <f t="shared" si="5"/>
        <v>3.493374999770761</v>
      </c>
      <c r="AA56" s="9">
        <v>-5624000</v>
      </c>
      <c r="AB56" s="10">
        <v>-2260000</v>
      </c>
      <c r="AD56">
        <v>3656</v>
      </c>
      <c r="AE56" s="1">
        <v>1755</v>
      </c>
      <c r="AF56" s="6">
        <f t="shared" si="11"/>
        <v>3656</v>
      </c>
      <c r="AG56" s="6">
        <f t="shared" si="12"/>
        <v>-1901</v>
      </c>
      <c r="AH56" s="5" t="e">
        <f t="shared" si="13"/>
        <v>#DIV/0!</v>
      </c>
      <c r="AI56" s="5">
        <f t="shared" si="14"/>
        <v>-0.51996717724288843</v>
      </c>
    </row>
    <row r="57" spans="1:35" x14ac:dyDescent="0.25">
      <c r="A57" s="2" t="s">
        <v>58</v>
      </c>
      <c r="B57" t="s">
        <v>215</v>
      </c>
      <c r="C57" t="e">
        <f>VLOOKUP(A57,[1]FO!$A$2:$A$69,2,0)</f>
        <v>#REF!</v>
      </c>
      <c r="D57" s="4">
        <v>1.2</v>
      </c>
      <c r="E57" s="10">
        <v>0.25</v>
      </c>
      <c r="G57" t="s">
        <v>232</v>
      </c>
      <c r="H57" s="1">
        <v>26684</v>
      </c>
      <c r="I57" s="6" t="e">
        <f t="shared" si="6"/>
        <v>#VALUE!</v>
      </c>
      <c r="J57" s="6" t="e">
        <f t="shared" si="15"/>
        <v>#VALUE!</v>
      </c>
      <c r="K57" s="5" t="e">
        <f t="shared" si="0"/>
        <v>#VALUE!</v>
      </c>
      <c r="L57" s="5" t="e">
        <f t="shared" si="1"/>
        <v>#VALUE!</v>
      </c>
      <c r="M57" s="3"/>
      <c r="N57" s="3">
        <v>32.75</v>
      </c>
      <c r="O57" s="11">
        <v>129.12</v>
      </c>
      <c r="P57" s="7">
        <f t="shared" si="7"/>
        <v>32.75</v>
      </c>
      <c r="Q57" s="7">
        <f t="shared" si="8"/>
        <v>96.37</v>
      </c>
      <c r="R57" s="5" t="e">
        <f t="shared" si="2"/>
        <v>#DIV/0!</v>
      </c>
      <c r="S57" s="5">
        <f t="shared" si="3"/>
        <v>2.9425954198473283</v>
      </c>
      <c r="U57">
        <v>2127925</v>
      </c>
      <c r="V57" s="1">
        <f>VLOOKUP(A57,[2]Sheet1!$A:$B,2,0)</f>
        <v>12912035</v>
      </c>
      <c r="W57" s="6">
        <f t="shared" si="9"/>
        <v>2127925</v>
      </c>
      <c r="X57" s="6">
        <f t="shared" si="10"/>
        <v>10784110</v>
      </c>
      <c r="Y57" s="5" t="e">
        <f t="shared" si="4"/>
        <v>#DIV/0!</v>
      </c>
      <c r="Z57" s="5">
        <f t="shared" si="5"/>
        <v>5.0678994795399275</v>
      </c>
      <c r="AA57" s="9">
        <v>-11620000</v>
      </c>
      <c r="AB57" s="10">
        <v>-11630000</v>
      </c>
      <c r="AD57">
        <v>3491</v>
      </c>
      <c r="AE57" s="1">
        <v>2041</v>
      </c>
      <c r="AF57" s="6">
        <f t="shared" si="11"/>
        <v>3491</v>
      </c>
      <c r="AG57" s="6">
        <f t="shared" si="12"/>
        <v>-1450</v>
      </c>
      <c r="AH57" s="5" t="e">
        <f t="shared" si="13"/>
        <v>#DIV/0!</v>
      </c>
      <c r="AI57" s="5">
        <f t="shared" si="14"/>
        <v>-0.41535376682898884</v>
      </c>
    </row>
    <row r="58" spans="1:35" x14ac:dyDescent="0.25">
      <c r="A58" s="2" t="s">
        <v>59</v>
      </c>
      <c r="B58" t="s">
        <v>215</v>
      </c>
      <c r="C58" t="e">
        <f>VLOOKUP(A58,[1]FO!$A$2:$A$69,2,0)</f>
        <v>#N/A</v>
      </c>
      <c r="D58" s="4" t="e">
        <v>#N/A</v>
      </c>
      <c r="E58" s="10" t="e">
        <v>#N/A</v>
      </c>
      <c r="G58" t="s">
        <v>232</v>
      </c>
      <c r="H58" s="1">
        <v>10000</v>
      </c>
      <c r="I58" s="6" t="e">
        <f t="shared" si="6"/>
        <v>#VALUE!</v>
      </c>
      <c r="J58" s="6" t="e">
        <f t="shared" si="15"/>
        <v>#VALUE!</v>
      </c>
      <c r="K58" s="5" t="e">
        <f t="shared" si="0"/>
        <v>#VALUE!</v>
      </c>
      <c r="L58" s="5" t="e">
        <f t="shared" si="1"/>
        <v>#VALUE!</v>
      </c>
      <c r="M58" s="3"/>
      <c r="N58" s="3" t="e">
        <v>#N/A</v>
      </c>
      <c r="O58" s="11" t="e">
        <v>#N/A</v>
      </c>
      <c r="P58" s="7" t="e">
        <f t="shared" si="7"/>
        <v>#N/A</v>
      </c>
      <c r="Q58" s="7" t="e">
        <f t="shared" si="8"/>
        <v>#N/A</v>
      </c>
      <c r="R58" s="5" t="e">
        <f t="shared" si="2"/>
        <v>#N/A</v>
      </c>
      <c r="S58" s="5" t="e">
        <f t="shared" si="3"/>
        <v>#N/A</v>
      </c>
      <c r="U58">
        <v>76860</v>
      </c>
      <c r="V58" s="1">
        <f>VLOOKUP(A58,[2]Sheet1!$A:$B,2,0)</f>
        <v>124296</v>
      </c>
      <c r="W58" s="6">
        <f t="shared" si="9"/>
        <v>76860</v>
      </c>
      <c r="X58" s="6">
        <f t="shared" si="10"/>
        <v>47436</v>
      </c>
      <c r="Y58" s="5" t="e">
        <f t="shared" si="4"/>
        <v>#DIV/0!</v>
      </c>
      <c r="Z58" s="5">
        <f t="shared" si="5"/>
        <v>0.61717408274785324</v>
      </c>
      <c r="AA58" s="9" t="e">
        <v>#N/A</v>
      </c>
      <c r="AB58" s="10" t="e">
        <v>#N/A</v>
      </c>
      <c r="AD58" t="e">
        <v>#N/A</v>
      </c>
      <c r="AE58" s="1" t="e">
        <v>#N/A</v>
      </c>
      <c r="AF58" s="6" t="e">
        <f t="shared" si="11"/>
        <v>#N/A</v>
      </c>
      <c r="AG58" s="6" t="e">
        <f t="shared" si="12"/>
        <v>#N/A</v>
      </c>
      <c r="AH58" s="5" t="e">
        <f t="shared" si="13"/>
        <v>#N/A</v>
      </c>
      <c r="AI58" s="5" t="e">
        <f t="shared" si="14"/>
        <v>#N/A</v>
      </c>
    </row>
    <row r="59" spans="1:35" x14ac:dyDescent="0.25">
      <c r="A59" s="2" t="s">
        <v>60</v>
      </c>
      <c r="B59" t="s">
        <v>215</v>
      </c>
      <c r="C59" t="e">
        <f>VLOOKUP(A59,[1]FO!$A$2:$A$69,2,0)</f>
        <v>#N/A</v>
      </c>
      <c r="D59" s="4" t="e">
        <v>#N/A</v>
      </c>
      <c r="E59" s="10" t="e">
        <v>#N/A</v>
      </c>
      <c r="G59" t="e">
        <v>#N/A</v>
      </c>
      <c r="H59" s="1" t="e">
        <v>#N/A</v>
      </c>
      <c r="I59" s="6" t="e">
        <f t="shared" si="6"/>
        <v>#N/A</v>
      </c>
      <c r="J59" s="6" t="e">
        <f t="shared" si="15"/>
        <v>#N/A</v>
      </c>
      <c r="K59" s="5" t="e">
        <f t="shared" si="0"/>
        <v>#N/A</v>
      </c>
      <c r="L59" s="5" t="e">
        <f t="shared" si="1"/>
        <v>#N/A</v>
      </c>
      <c r="M59" s="3"/>
      <c r="N59" s="3" t="e">
        <v>#N/A</v>
      </c>
      <c r="O59" s="11" t="e">
        <v>#N/A</v>
      </c>
      <c r="P59" s="7" t="e">
        <f t="shared" si="7"/>
        <v>#N/A</v>
      </c>
      <c r="Q59" s="7" t="e">
        <f t="shared" si="8"/>
        <v>#N/A</v>
      </c>
      <c r="R59" s="5" t="e">
        <f t="shared" si="2"/>
        <v>#N/A</v>
      </c>
      <c r="S59" s="5" t="e">
        <f t="shared" si="3"/>
        <v>#N/A</v>
      </c>
      <c r="U59" t="e">
        <v>#N/A</v>
      </c>
      <c r="V59" s="1" t="e">
        <f>VLOOKUP(A59,[2]Sheet1!$A:$B,2,0)</f>
        <v>#N/A</v>
      </c>
      <c r="W59" s="6" t="e">
        <f t="shared" si="9"/>
        <v>#N/A</v>
      </c>
      <c r="X59" s="6" t="e">
        <f t="shared" si="10"/>
        <v>#N/A</v>
      </c>
      <c r="Y59" s="5" t="e">
        <f t="shared" si="4"/>
        <v>#N/A</v>
      </c>
      <c r="Z59" s="5" t="e">
        <f t="shared" si="5"/>
        <v>#N/A</v>
      </c>
      <c r="AA59" s="9" t="e">
        <v>#N/A</v>
      </c>
      <c r="AB59" s="10" t="e">
        <v>#N/A</v>
      </c>
      <c r="AD59" t="e">
        <v>#N/A</v>
      </c>
      <c r="AE59" s="1" t="e">
        <v>#N/A</v>
      </c>
      <c r="AF59" s="6" t="e">
        <f t="shared" si="11"/>
        <v>#N/A</v>
      </c>
      <c r="AG59" s="6" t="e">
        <f t="shared" si="12"/>
        <v>#N/A</v>
      </c>
      <c r="AH59" s="5" t="e">
        <f t="shared" si="13"/>
        <v>#N/A</v>
      </c>
      <c r="AI59" s="5" t="e">
        <f t="shared" si="14"/>
        <v>#N/A</v>
      </c>
    </row>
    <row r="60" spans="1:35" x14ac:dyDescent="0.25">
      <c r="A60" s="2" t="s">
        <v>61</v>
      </c>
      <c r="B60" t="s">
        <v>215</v>
      </c>
      <c r="C60" t="e">
        <f>VLOOKUP(A60,[1]FO!$A$2:$A$69,2,0)</f>
        <v>#REF!</v>
      </c>
      <c r="D60" s="4">
        <v>-7.15</v>
      </c>
      <c r="E60" s="10">
        <v>31.75</v>
      </c>
      <c r="G60" t="s">
        <v>232</v>
      </c>
      <c r="H60" s="1">
        <v>29488</v>
      </c>
      <c r="I60" s="6" t="e">
        <f t="shared" si="6"/>
        <v>#VALUE!</v>
      </c>
      <c r="J60" s="6" t="e">
        <f t="shared" si="15"/>
        <v>#VALUE!</v>
      </c>
      <c r="K60" s="5" t="e">
        <f t="shared" si="0"/>
        <v>#VALUE!</v>
      </c>
      <c r="L60" s="5" t="e">
        <f t="shared" si="1"/>
        <v>#VALUE!</v>
      </c>
      <c r="M60" s="3"/>
      <c r="N60" s="3">
        <v>572.25</v>
      </c>
      <c r="O60" s="11">
        <v>13.19</v>
      </c>
      <c r="P60" s="7">
        <f t="shared" si="7"/>
        <v>572.25</v>
      </c>
      <c r="Q60" s="7">
        <f t="shared" si="8"/>
        <v>-559.05999999999995</v>
      </c>
      <c r="R60" s="5" t="e">
        <f t="shared" si="2"/>
        <v>#DIV/0!</v>
      </c>
      <c r="S60" s="5">
        <f t="shared" si="3"/>
        <v>-0.97695063346439481</v>
      </c>
      <c r="U60">
        <v>149773</v>
      </c>
      <c r="V60" s="1">
        <f>VLOOKUP(A60,[2]Sheet1!$A:$B,2,0)</f>
        <v>1318693</v>
      </c>
      <c r="W60" s="6">
        <f t="shared" si="9"/>
        <v>149773</v>
      </c>
      <c r="X60" s="6">
        <f t="shared" si="10"/>
        <v>1168920</v>
      </c>
      <c r="Y60" s="5" t="e">
        <f t="shared" si="4"/>
        <v>#DIV/0!</v>
      </c>
      <c r="Z60" s="5">
        <f t="shared" si="5"/>
        <v>7.8046109779466262</v>
      </c>
      <c r="AA60" s="9">
        <v>-253600</v>
      </c>
      <c r="AB60" s="10">
        <v>-197600</v>
      </c>
      <c r="AD60">
        <v>931</v>
      </c>
      <c r="AE60" s="1">
        <v>608</v>
      </c>
      <c r="AF60" s="6">
        <f t="shared" si="11"/>
        <v>931</v>
      </c>
      <c r="AG60" s="6">
        <f t="shared" si="12"/>
        <v>-323</v>
      </c>
      <c r="AH60" s="5" t="e">
        <f t="shared" si="13"/>
        <v>#DIV/0!</v>
      </c>
      <c r="AI60" s="5">
        <f t="shared" si="14"/>
        <v>-0.34693877551020408</v>
      </c>
    </row>
    <row r="61" spans="1:35" x14ac:dyDescent="0.25">
      <c r="A61" s="2" t="s">
        <v>62</v>
      </c>
      <c r="B61" t="s">
        <v>215</v>
      </c>
      <c r="C61" t="e">
        <f>VLOOKUP(A61,[1]FO!$A$2:$A$69,2,0)</f>
        <v>#N/A</v>
      </c>
      <c r="D61" s="4" t="e">
        <v>#N/A</v>
      </c>
      <c r="E61" s="10" t="e">
        <v>#N/A</v>
      </c>
      <c r="G61" t="e">
        <v>#N/A</v>
      </c>
      <c r="H61" s="1" t="e">
        <v>#N/A</v>
      </c>
      <c r="I61" s="6" t="e">
        <f t="shared" si="6"/>
        <v>#N/A</v>
      </c>
      <c r="J61" s="6" t="e">
        <f t="shared" si="15"/>
        <v>#N/A</v>
      </c>
      <c r="K61" s="5" t="e">
        <f t="shared" si="0"/>
        <v>#N/A</v>
      </c>
      <c r="L61" s="5" t="e">
        <f t="shared" si="1"/>
        <v>#N/A</v>
      </c>
      <c r="M61" s="3"/>
      <c r="N61" s="3" t="e">
        <v>#N/A</v>
      </c>
      <c r="O61" s="11" t="e">
        <v>#N/A</v>
      </c>
      <c r="P61" s="7" t="e">
        <f t="shared" si="7"/>
        <v>#N/A</v>
      </c>
      <c r="Q61" s="7" t="e">
        <f t="shared" si="8"/>
        <v>#N/A</v>
      </c>
      <c r="R61" s="5" t="e">
        <f t="shared" si="2"/>
        <v>#N/A</v>
      </c>
      <c r="S61" s="5" t="e">
        <f t="shared" si="3"/>
        <v>#N/A</v>
      </c>
      <c r="U61" t="e">
        <v>#N/A</v>
      </c>
      <c r="V61" s="1" t="e">
        <f>VLOOKUP(A61,[2]Sheet1!$A:$B,2,0)</f>
        <v>#N/A</v>
      </c>
      <c r="W61" s="6" t="e">
        <f t="shared" si="9"/>
        <v>#N/A</v>
      </c>
      <c r="X61" s="6" t="e">
        <f t="shared" si="10"/>
        <v>#N/A</v>
      </c>
      <c r="Y61" s="5" t="e">
        <f t="shared" si="4"/>
        <v>#N/A</v>
      </c>
      <c r="Z61" s="5" t="e">
        <f t="shared" si="5"/>
        <v>#N/A</v>
      </c>
      <c r="AA61" s="9" t="e">
        <v>#N/A</v>
      </c>
      <c r="AB61" s="10" t="e">
        <v>#N/A</v>
      </c>
      <c r="AD61" t="e">
        <v>#N/A</v>
      </c>
      <c r="AE61" s="1" t="e">
        <v>#N/A</v>
      </c>
      <c r="AF61" s="6" t="e">
        <f t="shared" si="11"/>
        <v>#N/A</v>
      </c>
      <c r="AG61" s="6" t="e">
        <f t="shared" si="12"/>
        <v>#N/A</v>
      </c>
      <c r="AH61" s="5" t="e">
        <f t="shared" si="13"/>
        <v>#N/A</v>
      </c>
      <c r="AI61" s="5" t="e">
        <f t="shared" si="14"/>
        <v>#N/A</v>
      </c>
    </row>
    <row r="62" spans="1:35" x14ac:dyDescent="0.25">
      <c r="A62" s="2" t="s">
        <v>63</v>
      </c>
      <c r="B62" t="s">
        <v>215</v>
      </c>
      <c r="C62" t="e">
        <f>VLOOKUP(A62,[1]FO!$A$2:$A$69,2,0)</f>
        <v>#REF!</v>
      </c>
      <c r="D62" s="4">
        <v>-2.95</v>
      </c>
      <c r="E62" s="10">
        <v>-22.05</v>
      </c>
      <c r="G62" t="s">
        <v>232</v>
      </c>
      <c r="H62" s="1">
        <v>64951</v>
      </c>
      <c r="I62" s="6" t="e">
        <f t="shared" si="6"/>
        <v>#VALUE!</v>
      </c>
      <c r="J62" s="6" t="e">
        <f t="shared" si="15"/>
        <v>#VALUE!</v>
      </c>
      <c r="K62" s="5" t="e">
        <f t="shared" si="0"/>
        <v>#VALUE!</v>
      </c>
      <c r="L62" s="5" t="e">
        <f t="shared" si="1"/>
        <v>#VALUE!</v>
      </c>
      <c r="M62" s="3"/>
      <c r="N62" s="3">
        <v>1441.9</v>
      </c>
      <c r="O62" s="11">
        <v>7.31</v>
      </c>
      <c r="P62" s="7">
        <f t="shared" si="7"/>
        <v>1441.9</v>
      </c>
      <c r="Q62" s="7">
        <f t="shared" si="8"/>
        <v>-1434.5900000000001</v>
      </c>
      <c r="R62" s="5" t="e">
        <f t="shared" si="2"/>
        <v>#DIV/0!</v>
      </c>
      <c r="S62" s="5">
        <f t="shared" si="3"/>
        <v>-0.99493030029821772</v>
      </c>
      <c r="U62">
        <v>338075</v>
      </c>
      <c r="V62" s="1">
        <f>VLOOKUP(A62,[2]Sheet1!$A:$B,2,0)</f>
        <v>731401</v>
      </c>
      <c r="W62" s="6">
        <f t="shared" si="9"/>
        <v>338075</v>
      </c>
      <c r="X62" s="6">
        <f t="shared" si="10"/>
        <v>393326</v>
      </c>
      <c r="Y62" s="5" t="e">
        <f t="shared" si="4"/>
        <v>#DIV/0!</v>
      </c>
      <c r="Z62" s="5">
        <f t="shared" si="5"/>
        <v>1.1634282333801671</v>
      </c>
      <c r="AA62" s="9">
        <v>-377500</v>
      </c>
      <c r="AB62" s="10">
        <v>-106500</v>
      </c>
      <c r="AD62">
        <v>3203</v>
      </c>
      <c r="AE62" s="1">
        <v>935</v>
      </c>
      <c r="AF62" s="6">
        <f t="shared" si="11"/>
        <v>3203</v>
      </c>
      <c r="AG62" s="6">
        <f t="shared" si="12"/>
        <v>-2268</v>
      </c>
      <c r="AH62" s="5" t="e">
        <f t="shared" si="13"/>
        <v>#DIV/0!</v>
      </c>
      <c r="AI62" s="5">
        <f t="shared" si="14"/>
        <v>-0.7080861692163597</v>
      </c>
    </row>
    <row r="63" spans="1:35" x14ac:dyDescent="0.25">
      <c r="A63" s="2" t="s">
        <v>64</v>
      </c>
      <c r="B63" t="s">
        <v>215</v>
      </c>
      <c r="C63" t="e">
        <f>VLOOKUP(A63,[1]FO!$A$2:$A$69,2,0)</f>
        <v>#REF!</v>
      </c>
      <c r="D63" s="4">
        <v>5.3</v>
      </c>
      <c r="E63" s="10">
        <v>0.65</v>
      </c>
      <c r="G63" t="s">
        <v>232</v>
      </c>
      <c r="H63" s="1">
        <v>104966</v>
      </c>
      <c r="I63" s="6" t="e">
        <f t="shared" si="6"/>
        <v>#VALUE!</v>
      </c>
      <c r="J63" s="6" t="e">
        <f t="shared" si="15"/>
        <v>#VALUE!</v>
      </c>
      <c r="K63" s="5" t="e">
        <f t="shared" si="0"/>
        <v>#VALUE!</v>
      </c>
      <c r="L63" s="5" t="e">
        <f t="shared" si="1"/>
        <v>#VALUE!</v>
      </c>
      <c r="M63" s="3"/>
      <c r="N63" s="3">
        <v>103.3</v>
      </c>
      <c r="O63" s="11">
        <v>178.48</v>
      </c>
      <c r="P63" s="7">
        <f t="shared" si="7"/>
        <v>103.3</v>
      </c>
      <c r="Q63" s="7">
        <f t="shared" si="8"/>
        <v>75.179999999999993</v>
      </c>
      <c r="R63" s="5" t="e">
        <f t="shared" si="2"/>
        <v>#DIV/0!</v>
      </c>
      <c r="S63" s="5">
        <f t="shared" si="3"/>
        <v>0.72778315585672793</v>
      </c>
      <c r="U63">
        <v>672216</v>
      </c>
      <c r="V63" s="1">
        <f>VLOOKUP(A63,[2]Sheet1!$A:$B,2,0)</f>
        <v>17848226</v>
      </c>
      <c r="W63" s="6">
        <f t="shared" si="9"/>
        <v>672216</v>
      </c>
      <c r="X63" s="6">
        <f t="shared" si="10"/>
        <v>17176010</v>
      </c>
      <c r="Y63" s="5" t="e">
        <f t="shared" si="4"/>
        <v>#DIV/0!</v>
      </c>
      <c r="Z63" s="5">
        <f t="shared" si="5"/>
        <v>25.551325764337655</v>
      </c>
      <c r="AA63" s="9">
        <v>-1539000</v>
      </c>
      <c r="AB63" s="10">
        <v>-1146000</v>
      </c>
      <c r="AD63">
        <v>1341</v>
      </c>
      <c r="AE63" s="1">
        <v>2485</v>
      </c>
      <c r="AF63" s="6">
        <f t="shared" si="11"/>
        <v>1341</v>
      </c>
      <c r="AG63" s="6">
        <f t="shared" si="12"/>
        <v>1144</v>
      </c>
      <c r="AH63" s="5" t="e">
        <f t="shared" si="13"/>
        <v>#DIV/0!</v>
      </c>
      <c r="AI63" s="5">
        <f t="shared" si="14"/>
        <v>0.8530947054436987</v>
      </c>
    </row>
    <row r="64" spans="1:35" x14ac:dyDescent="0.25">
      <c r="A64" s="2" t="s">
        <v>65</v>
      </c>
      <c r="B64" t="s">
        <v>215</v>
      </c>
      <c r="C64" t="e">
        <f>VLOOKUP(A64,[1]FO!$A$2:$A$69,2,0)</f>
        <v>#N/A</v>
      </c>
      <c r="D64" s="4" t="e">
        <v>#N/A</v>
      </c>
      <c r="E64" s="10" t="e">
        <v>#N/A</v>
      </c>
      <c r="G64" t="s">
        <v>232</v>
      </c>
      <c r="H64" s="1">
        <v>8552</v>
      </c>
      <c r="I64" s="6" t="e">
        <f t="shared" si="6"/>
        <v>#VALUE!</v>
      </c>
      <c r="J64" s="6" t="e">
        <f t="shared" si="15"/>
        <v>#VALUE!</v>
      </c>
      <c r="K64" s="5" t="e">
        <f t="shared" si="0"/>
        <v>#VALUE!</v>
      </c>
      <c r="L64" s="5" t="e">
        <f t="shared" si="1"/>
        <v>#VALUE!</v>
      </c>
      <c r="M64" s="3"/>
      <c r="N64" s="3" t="e">
        <v>#N/A</v>
      </c>
      <c r="O64" s="11" t="e">
        <v>#N/A</v>
      </c>
      <c r="P64" s="7" t="e">
        <f t="shared" si="7"/>
        <v>#N/A</v>
      </c>
      <c r="Q64" s="7" t="e">
        <f t="shared" si="8"/>
        <v>#N/A</v>
      </c>
      <c r="R64" s="5" t="e">
        <f t="shared" si="2"/>
        <v>#N/A</v>
      </c>
      <c r="S64" s="5" t="e">
        <f t="shared" si="3"/>
        <v>#N/A</v>
      </c>
      <c r="U64">
        <v>295131</v>
      </c>
      <c r="V64" s="1">
        <f>VLOOKUP(A64,[2]Sheet1!$A:$B,2,0)</f>
        <v>3800592</v>
      </c>
      <c r="W64" s="6">
        <f t="shared" si="9"/>
        <v>295131</v>
      </c>
      <c r="X64" s="6">
        <f t="shared" si="10"/>
        <v>3505461</v>
      </c>
      <c r="Y64" s="5" t="e">
        <f t="shared" si="4"/>
        <v>#DIV/0!</v>
      </c>
      <c r="Z64" s="5">
        <f t="shared" si="5"/>
        <v>11.877644164794617</v>
      </c>
      <c r="AA64" s="9" t="e">
        <v>#N/A</v>
      </c>
      <c r="AB64" s="10" t="e">
        <v>#N/A</v>
      </c>
      <c r="AD64" t="e">
        <v>#N/A</v>
      </c>
      <c r="AE64" s="1" t="e">
        <v>#N/A</v>
      </c>
      <c r="AF64" s="6" t="e">
        <f t="shared" si="11"/>
        <v>#N/A</v>
      </c>
      <c r="AG64" s="6" t="e">
        <f t="shared" si="12"/>
        <v>#N/A</v>
      </c>
      <c r="AH64" s="5" t="e">
        <f t="shared" si="13"/>
        <v>#N/A</v>
      </c>
      <c r="AI64" s="5" t="e">
        <f t="shared" si="14"/>
        <v>#N/A</v>
      </c>
    </row>
    <row r="65" spans="1:35" x14ac:dyDescent="0.25">
      <c r="A65" s="2" t="s">
        <v>66</v>
      </c>
      <c r="B65" t="s">
        <v>215</v>
      </c>
      <c r="C65" t="e">
        <f>VLOOKUP(A65,[1]FO!$A$2:$A$69,2,0)</f>
        <v>#REF!</v>
      </c>
      <c r="D65" s="4">
        <v>3.2</v>
      </c>
      <c r="E65" s="10">
        <v>4.3499999999999996</v>
      </c>
      <c r="G65" t="s">
        <v>232</v>
      </c>
      <c r="H65" s="1">
        <v>200831</v>
      </c>
      <c r="I65" s="6" t="e">
        <f t="shared" si="6"/>
        <v>#VALUE!</v>
      </c>
      <c r="J65" s="6" t="e">
        <f t="shared" si="15"/>
        <v>#VALUE!</v>
      </c>
      <c r="K65" s="5" t="e">
        <f t="shared" si="0"/>
        <v>#VALUE!</v>
      </c>
      <c r="L65" s="5" t="e">
        <f t="shared" si="1"/>
        <v>#VALUE!</v>
      </c>
      <c r="M65" s="3"/>
      <c r="N65" s="3">
        <v>53.2</v>
      </c>
      <c r="O65" s="11">
        <v>563.6</v>
      </c>
      <c r="P65" s="7">
        <f t="shared" si="7"/>
        <v>53.2</v>
      </c>
      <c r="Q65" s="7">
        <f t="shared" si="8"/>
        <v>510.40000000000003</v>
      </c>
      <c r="R65" s="5" t="e">
        <f t="shared" si="2"/>
        <v>#DIV/0!</v>
      </c>
      <c r="S65" s="5">
        <f t="shared" si="3"/>
        <v>9.5939849624060152</v>
      </c>
      <c r="U65">
        <v>4545377</v>
      </c>
      <c r="V65" s="1">
        <f>VLOOKUP(A65,[2]Sheet1!$A:$B,2,0)</f>
        <v>56360008</v>
      </c>
      <c r="W65" s="6">
        <f t="shared" si="9"/>
        <v>4545377</v>
      </c>
      <c r="X65" s="6">
        <f t="shared" si="10"/>
        <v>51814631</v>
      </c>
      <c r="Y65" s="5" t="e">
        <f t="shared" si="4"/>
        <v>#DIV/0!</v>
      </c>
      <c r="Z65" s="5">
        <f t="shared" si="5"/>
        <v>11.399413293990795</v>
      </c>
      <c r="AA65" s="9">
        <v>-10112000</v>
      </c>
      <c r="AB65" s="10">
        <v>-3992000</v>
      </c>
      <c r="AD65">
        <v>3407</v>
      </c>
      <c r="AE65" s="1">
        <v>2256</v>
      </c>
      <c r="AF65" s="6">
        <f t="shared" si="11"/>
        <v>3407</v>
      </c>
      <c r="AG65" s="6">
        <f t="shared" si="12"/>
        <v>-1151</v>
      </c>
      <c r="AH65" s="5" t="e">
        <f t="shared" si="13"/>
        <v>#DIV/0!</v>
      </c>
      <c r="AI65" s="5">
        <f t="shared" si="14"/>
        <v>-0.33783387144115057</v>
      </c>
    </row>
    <row r="66" spans="1:35" x14ac:dyDescent="0.25">
      <c r="A66" s="2" t="s">
        <v>67</v>
      </c>
      <c r="B66" t="s">
        <v>215</v>
      </c>
      <c r="C66" t="e">
        <f>VLOOKUP(A66,[1]FO!$A$2:$A$69,2,0)</f>
        <v>#REF!</v>
      </c>
      <c r="D66" s="4">
        <v>113.2</v>
      </c>
      <c r="E66" s="10">
        <v>91.35</v>
      </c>
      <c r="G66" t="s">
        <v>232</v>
      </c>
      <c r="H66" s="1">
        <v>144356</v>
      </c>
      <c r="I66" s="6" t="e">
        <f t="shared" si="6"/>
        <v>#VALUE!</v>
      </c>
      <c r="J66" s="6" t="e">
        <f t="shared" si="15"/>
        <v>#VALUE!</v>
      </c>
      <c r="K66" s="5" t="e">
        <f t="shared" si="0"/>
        <v>#VALUE!</v>
      </c>
      <c r="L66" s="5" t="e">
        <f t="shared" si="1"/>
        <v>#VALUE!</v>
      </c>
      <c r="M66" s="3"/>
      <c r="N66" s="3">
        <v>5175</v>
      </c>
      <c r="O66" s="11">
        <v>10.64</v>
      </c>
      <c r="P66" s="7">
        <f t="shared" si="7"/>
        <v>5175</v>
      </c>
      <c r="Q66" s="7">
        <f t="shared" si="8"/>
        <v>-5164.3599999999997</v>
      </c>
      <c r="R66" s="5" t="e">
        <f t="shared" si="2"/>
        <v>#DIV/0!</v>
      </c>
      <c r="S66" s="5">
        <f t="shared" si="3"/>
        <v>-0.99794396135265695</v>
      </c>
      <c r="U66">
        <v>301074</v>
      </c>
      <c r="V66" s="1">
        <f>VLOOKUP(A66,[2]Sheet1!$A:$B,2,0)</f>
        <v>1064409</v>
      </c>
      <c r="W66" s="6">
        <f t="shared" si="9"/>
        <v>301074</v>
      </c>
      <c r="X66" s="6">
        <f t="shared" si="10"/>
        <v>763335</v>
      </c>
      <c r="Y66" s="5" t="e">
        <f t="shared" si="4"/>
        <v>#DIV/0!</v>
      </c>
      <c r="Z66" s="5">
        <f t="shared" si="5"/>
        <v>2.5353733633591742</v>
      </c>
      <c r="AA66" s="9">
        <v>-100500</v>
      </c>
      <c r="AB66" s="10">
        <v>-95750</v>
      </c>
      <c r="AD66">
        <v>8247</v>
      </c>
      <c r="AE66" s="1">
        <v>3129</v>
      </c>
      <c r="AF66" s="6">
        <f t="shared" si="11"/>
        <v>8247</v>
      </c>
      <c r="AG66" s="6">
        <f t="shared" si="12"/>
        <v>-5118</v>
      </c>
      <c r="AH66" s="5" t="e">
        <f t="shared" si="13"/>
        <v>#DIV/0!</v>
      </c>
      <c r="AI66" s="5">
        <f t="shared" si="14"/>
        <v>-0.62058930520189159</v>
      </c>
    </row>
    <row r="67" spans="1:35" x14ac:dyDescent="0.25">
      <c r="A67" s="2" t="s">
        <v>68</v>
      </c>
      <c r="B67" t="s">
        <v>215</v>
      </c>
      <c r="C67" t="e">
        <f>VLOOKUP(A67,[1]FO!$A$2:$A$69,2,0)</f>
        <v>#REF!</v>
      </c>
      <c r="D67" s="4">
        <v>45.05</v>
      </c>
      <c r="E67" s="10">
        <v>-30.3</v>
      </c>
      <c r="G67" t="s">
        <v>232</v>
      </c>
      <c r="H67" s="1">
        <v>45695</v>
      </c>
      <c r="I67" s="6" t="e">
        <f t="shared" si="6"/>
        <v>#VALUE!</v>
      </c>
      <c r="J67" s="6" t="e">
        <f t="shared" si="15"/>
        <v>#VALUE!</v>
      </c>
      <c r="K67" s="5" t="e">
        <f t="shared" ref="K67:K129" si="16">I67/F67</f>
        <v>#VALUE!</v>
      </c>
      <c r="L67" s="5" t="e">
        <f t="shared" ref="L67:L129" si="17">J67/G67</f>
        <v>#VALUE!</v>
      </c>
      <c r="M67" s="3"/>
      <c r="N67" s="3">
        <v>1006.9</v>
      </c>
      <c r="O67" s="11">
        <v>15.66</v>
      </c>
      <c r="P67" s="7">
        <f t="shared" si="7"/>
        <v>1006.9</v>
      </c>
      <c r="Q67" s="7">
        <f t="shared" si="8"/>
        <v>-991.24</v>
      </c>
      <c r="R67" s="5" t="e">
        <f t="shared" ref="R67:R129" si="18">P67/M67</f>
        <v>#DIV/0!</v>
      </c>
      <c r="S67" s="5">
        <f t="shared" ref="S67:S129" si="19">Q67/N67</f>
        <v>-0.98444731353659753</v>
      </c>
      <c r="U67">
        <v>95735</v>
      </c>
      <c r="V67" s="1">
        <f>VLOOKUP(A67,[2]Sheet1!$A:$B,2,0)</f>
        <v>1565953</v>
      </c>
      <c r="W67" s="6">
        <f t="shared" si="9"/>
        <v>95735</v>
      </c>
      <c r="X67" s="6">
        <f t="shared" si="10"/>
        <v>1470218</v>
      </c>
      <c r="Y67" s="5" t="e">
        <f t="shared" ref="Y67:Y129" si="20">W67/T67</f>
        <v>#DIV/0!</v>
      </c>
      <c r="Z67" s="5">
        <f t="shared" ref="Z67:Z129" si="21">X67/U67</f>
        <v>15.357163002036872</v>
      </c>
      <c r="AA67" s="9">
        <v>-187200</v>
      </c>
      <c r="AB67" s="10">
        <v>-156000</v>
      </c>
      <c r="AD67">
        <v>955</v>
      </c>
      <c r="AE67" s="1">
        <v>1053</v>
      </c>
      <c r="AF67" s="6">
        <f t="shared" si="11"/>
        <v>955</v>
      </c>
      <c r="AG67" s="6">
        <f t="shared" si="12"/>
        <v>98</v>
      </c>
      <c r="AH67" s="5" t="e">
        <f t="shared" si="13"/>
        <v>#DIV/0!</v>
      </c>
      <c r="AI67" s="5">
        <f t="shared" si="14"/>
        <v>0.10261780104712041</v>
      </c>
    </row>
    <row r="68" spans="1:35" x14ac:dyDescent="0.25">
      <c r="A68" s="2" t="s">
        <v>69</v>
      </c>
      <c r="B68" t="s">
        <v>215</v>
      </c>
      <c r="C68" t="e">
        <f>VLOOKUP(A68,[1]FO!$A$2:$A$69,2,0)</f>
        <v>#N/A</v>
      </c>
      <c r="D68" s="4" t="e">
        <v>#N/A</v>
      </c>
      <c r="E68" s="10" t="e">
        <v>#N/A</v>
      </c>
      <c r="G68" t="s">
        <v>232</v>
      </c>
      <c r="H68" s="1">
        <v>9650</v>
      </c>
      <c r="I68" s="6" t="e">
        <f t="shared" ref="I68:I130" si="22">G68-F68</f>
        <v>#VALUE!</v>
      </c>
      <c r="J68" s="6" t="e">
        <f t="shared" ref="J68:J130" si="23">H68-G68</f>
        <v>#VALUE!</v>
      </c>
      <c r="K68" s="5" t="e">
        <f t="shared" si="16"/>
        <v>#VALUE!</v>
      </c>
      <c r="L68" s="5" t="e">
        <f t="shared" si="17"/>
        <v>#VALUE!</v>
      </c>
      <c r="M68" s="3"/>
      <c r="N68" s="3" t="e">
        <v>#N/A</v>
      </c>
      <c r="O68" s="11" t="e">
        <v>#N/A</v>
      </c>
      <c r="P68" s="7" t="e">
        <f t="shared" ref="P68:P130" si="24">N68-M68</f>
        <v>#N/A</v>
      </c>
      <c r="Q68" s="7" t="e">
        <f t="shared" ref="Q68:Q130" si="25">O68-N68</f>
        <v>#N/A</v>
      </c>
      <c r="R68" s="5" t="e">
        <f t="shared" si="18"/>
        <v>#N/A</v>
      </c>
      <c r="S68" s="5" t="e">
        <f t="shared" si="19"/>
        <v>#N/A</v>
      </c>
      <c r="U68">
        <v>227436</v>
      </c>
      <c r="V68" s="1">
        <f>VLOOKUP(A68,[2]Sheet1!$A:$B,2,0)</f>
        <v>605156</v>
      </c>
      <c r="W68" s="6">
        <f t="shared" ref="W68:W130" si="26">U68-T68</f>
        <v>227436</v>
      </c>
      <c r="X68" s="6">
        <f t="shared" ref="X68:X130" si="27">V68-U68</f>
        <v>377720</v>
      </c>
      <c r="Y68" s="5" t="e">
        <f t="shared" si="20"/>
        <v>#DIV/0!</v>
      </c>
      <c r="Z68" s="5">
        <f t="shared" si="21"/>
        <v>1.6607748993123341</v>
      </c>
      <c r="AA68" s="9" t="e">
        <v>#N/A</v>
      </c>
      <c r="AB68" s="10" t="e">
        <v>#N/A</v>
      </c>
      <c r="AD68" t="e">
        <v>#N/A</v>
      </c>
      <c r="AE68" s="1" t="e">
        <v>#N/A</v>
      </c>
      <c r="AF68" s="6" t="e">
        <f t="shared" ref="AF68:AF130" si="28">AD68-AC68</f>
        <v>#N/A</v>
      </c>
      <c r="AG68" s="6" t="e">
        <f t="shared" ref="AG68:AG130" si="29">AE68-AD68</f>
        <v>#N/A</v>
      </c>
      <c r="AH68" s="5" t="e">
        <f t="shared" ref="AH68:AH130" si="30">AF68/AC68</f>
        <v>#N/A</v>
      </c>
      <c r="AI68" s="5" t="e">
        <f t="shared" ref="AI68:AI130" si="31">AG68/AD68</f>
        <v>#N/A</v>
      </c>
    </row>
    <row r="69" spans="1:35" x14ac:dyDescent="0.25">
      <c r="A69" s="2" t="s">
        <v>70</v>
      </c>
      <c r="B69" t="s">
        <v>215</v>
      </c>
      <c r="C69" t="e">
        <f>VLOOKUP(A69,[1]FO!$A$2:$A$69,2,0)</f>
        <v>#N/A</v>
      </c>
      <c r="D69" s="4" t="e">
        <v>#N/A</v>
      </c>
      <c r="E69" s="10" t="e">
        <v>#N/A</v>
      </c>
      <c r="G69" t="s">
        <v>232</v>
      </c>
      <c r="H69" s="1">
        <v>13936</v>
      </c>
      <c r="I69" s="6" t="e">
        <f t="shared" si="22"/>
        <v>#VALUE!</v>
      </c>
      <c r="J69" s="6" t="e">
        <f t="shared" si="23"/>
        <v>#VALUE!</v>
      </c>
      <c r="K69" s="5" t="e">
        <f t="shared" si="16"/>
        <v>#VALUE!</v>
      </c>
      <c r="L69" s="5" t="e">
        <f t="shared" si="17"/>
        <v>#VALUE!</v>
      </c>
      <c r="M69" s="3"/>
      <c r="N69" s="3" t="e">
        <v>#N/A</v>
      </c>
      <c r="O69" s="11" t="e">
        <v>#N/A</v>
      </c>
      <c r="P69" s="7" t="e">
        <f t="shared" si="24"/>
        <v>#N/A</v>
      </c>
      <c r="Q69" s="7" t="e">
        <f t="shared" si="25"/>
        <v>#N/A</v>
      </c>
      <c r="R69" s="5" t="e">
        <f t="shared" si="18"/>
        <v>#N/A</v>
      </c>
      <c r="S69" s="5" t="e">
        <f t="shared" si="19"/>
        <v>#N/A</v>
      </c>
      <c r="U69">
        <v>756466</v>
      </c>
      <c r="V69" s="1">
        <f>VLOOKUP(A69,[2]Sheet1!$A:$B,2,0)</f>
        <v>7918011</v>
      </c>
      <c r="W69" s="6">
        <f t="shared" si="26"/>
        <v>756466</v>
      </c>
      <c r="X69" s="6">
        <f t="shared" si="27"/>
        <v>7161545</v>
      </c>
      <c r="Y69" s="5" t="e">
        <f t="shared" si="20"/>
        <v>#DIV/0!</v>
      </c>
      <c r="Z69" s="5">
        <f t="shared" si="21"/>
        <v>9.4671075765467325</v>
      </c>
      <c r="AA69" s="9" t="e">
        <v>#N/A</v>
      </c>
      <c r="AB69" s="10" t="e">
        <v>#N/A</v>
      </c>
      <c r="AD69" t="e">
        <v>#N/A</v>
      </c>
      <c r="AE69" s="1" t="e">
        <v>#N/A</v>
      </c>
      <c r="AF69" s="6" t="e">
        <f t="shared" si="28"/>
        <v>#N/A</v>
      </c>
      <c r="AG69" s="6" t="e">
        <f t="shared" si="29"/>
        <v>#N/A</v>
      </c>
      <c r="AH69" s="5" t="e">
        <f t="shared" si="30"/>
        <v>#N/A</v>
      </c>
      <c r="AI69" s="5" t="e">
        <f t="shared" si="31"/>
        <v>#N/A</v>
      </c>
    </row>
    <row r="70" spans="1:35" x14ac:dyDescent="0.25">
      <c r="A70" s="2" t="s">
        <v>71</v>
      </c>
      <c r="B70" t="s">
        <v>215</v>
      </c>
      <c r="C70" t="e">
        <f>VLOOKUP(A70,[1]FO!$A$2:$A$69,2,0)</f>
        <v>#REF!</v>
      </c>
      <c r="D70" s="4">
        <v>10.8</v>
      </c>
      <c r="E70" s="10">
        <v>43.85</v>
      </c>
      <c r="G70" t="s">
        <v>232</v>
      </c>
      <c r="H70" s="1">
        <v>68784</v>
      </c>
      <c r="I70" s="6" t="e">
        <f t="shared" si="22"/>
        <v>#VALUE!</v>
      </c>
      <c r="J70" s="6" t="e">
        <f t="shared" si="23"/>
        <v>#VALUE!</v>
      </c>
      <c r="K70" s="5" t="e">
        <f t="shared" si="16"/>
        <v>#VALUE!</v>
      </c>
      <c r="L70" s="5" t="e">
        <f t="shared" si="17"/>
        <v>#VALUE!</v>
      </c>
      <c r="M70" s="3"/>
      <c r="N70" s="3">
        <v>1382</v>
      </c>
      <c r="O70" s="11">
        <v>15.62</v>
      </c>
      <c r="P70" s="7">
        <f t="shared" si="24"/>
        <v>1382</v>
      </c>
      <c r="Q70" s="7">
        <f t="shared" si="25"/>
        <v>-1366.38</v>
      </c>
      <c r="R70" s="5" t="e">
        <f t="shared" si="18"/>
        <v>#DIV/0!</v>
      </c>
      <c r="S70" s="5">
        <f t="shared" si="19"/>
        <v>-0.98869753979739516</v>
      </c>
      <c r="U70">
        <v>350956</v>
      </c>
      <c r="V70" s="1">
        <f>VLOOKUP(A70,[2]Sheet1!$A:$B,2,0)</f>
        <v>1561853</v>
      </c>
      <c r="W70" s="6">
        <f t="shared" si="26"/>
        <v>350956</v>
      </c>
      <c r="X70" s="6">
        <f t="shared" si="27"/>
        <v>1210897</v>
      </c>
      <c r="Y70" s="5" t="e">
        <f t="shared" si="20"/>
        <v>#DIV/0!</v>
      </c>
      <c r="Z70" s="5">
        <f t="shared" si="21"/>
        <v>3.4502815167713332</v>
      </c>
      <c r="AA70" s="9">
        <v>-437250</v>
      </c>
      <c r="AB70" s="10">
        <v>-221100</v>
      </c>
      <c r="AD70">
        <v>6012</v>
      </c>
      <c r="AE70" s="1">
        <v>1489</v>
      </c>
      <c r="AF70" s="6">
        <f t="shared" si="28"/>
        <v>6012</v>
      </c>
      <c r="AG70" s="6">
        <f t="shared" si="29"/>
        <v>-4523</v>
      </c>
      <c r="AH70" s="5" t="e">
        <f t="shared" si="30"/>
        <v>#DIV/0!</v>
      </c>
      <c r="AI70" s="5">
        <f t="shared" si="31"/>
        <v>-0.75232867598137054</v>
      </c>
    </row>
    <row r="71" spans="1:35" x14ac:dyDescent="0.25">
      <c r="A71" s="2" t="s">
        <v>72</v>
      </c>
      <c r="B71" t="s">
        <v>215</v>
      </c>
      <c r="C71" t="e">
        <f>VLOOKUP(A71,[1]FO!$A$2:$A$69,2,0)</f>
        <v>#REF!</v>
      </c>
      <c r="D71" s="4">
        <v>-0.3</v>
      </c>
      <c r="E71" s="10">
        <v>-1.1000000000000001</v>
      </c>
      <c r="G71" t="s">
        <v>232</v>
      </c>
      <c r="H71" s="1">
        <v>56343</v>
      </c>
      <c r="I71" s="6" t="e">
        <f t="shared" si="22"/>
        <v>#VALUE!</v>
      </c>
      <c r="J71" s="6" t="e">
        <f t="shared" si="23"/>
        <v>#VALUE!</v>
      </c>
      <c r="K71" s="5" t="e">
        <f t="shared" si="16"/>
        <v>#VALUE!</v>
      </c>
      <c r="L71" s="5" t="e">
        <f t="shared" si="17"/>
        <v>#VALUE!</v>
      </c>
      <c r="M71" s="3"/>
      <c r="N71" s="3">
        <v>74.45</v>
      </c>
      <c r="O71" s="11">
        <v>171.1</v>
      </c>
      <c r="P71" s="7">
        <f t="shared" si="24"/>
        <v>74.45</v>
      </c>
      <c r="Q71" s="7">
        <f t="shared" si="25"/>
        <v>96.649999999999991</v>
      </c>
      <c r="R71" s="5" t="e">
        <f t="shared" si="18"/>
        <v>#DIV/0!</v>
      </c>
      <c r="S71" s="5">
        <f t="shared" si="19"/>
        <v>1.298186702484889</v>
      </c>
      <c r="U71">
        <v>993208</v>
      </c>
      <c r="V71" s="1">
        <f>VLOOKUP(A71,[2]Sheet1!$A:$B,2,0)</f>
        <v>17110089</v>
      </c>
      <c r="W71" s="6">
        <f t="shared" si="26"/>
        <v>993208</v>
      </c>
      <c r="X71" s="6">
        <f t="shared" si="27"/>
        <v>16116881</v>
      </c>
      <c r="Y71" s="5" t="e">
        <f t="shared" si="20"/>
        <v>#DIV/0!</v>
      </c>
      <c r="Z71" s="5">
        <f t="shared" si="21"/>
        <v>16.227095432175336</v>
      </c>
      <c r="AA71" s="9">
        <v>-4728000</v>
      </c>
      <c r="AB71" s="10">
        <v>-8586000</v>
      </c>
      <c r="AD71">
        <v>1695</v>
      </c>
      <c r="AE71" s="1">
        <v>2306</v>
      </c>
      <c r="AF71" s="6">
        <f t="shared" si="28"/>
        <v>1695</v>
      </c>
      <c r="AG71" s="6">
        <f t="shared" si="29"/>
        <v>611</v>
      </c>
      <c r="AH71" s="5" t="e">
        <f t="shared" si="30"/>
        <v>#DIV/0!</v>
      </c>
      <c r="AI71" s="5">
        <f t="shared" si="31"/>
        <v>0.36047197640117995</v>
      </c>
    </row>
    <row r="72" spans="1:35" x14ac:dyDescent="0.25">
      <c r="A72" s="8" t="s">
        <v>73</v>
      </c>
      <c r="B72" t="s">
        <v>215</v>
      </c>
      <c r="C72" t="e">
        <f>VLOOKUP(A72,[1]FO!$A$2:$A$69,2,0)</f>
        <v>#N/A</v>
      </c>
      <c r="D72" s="4" t="e">
        <v>#N/A</v>
      </c>
      <c r="E72" s="10" t="e">
        <v>#N/A</v>
      </c>
      <c r="G72" t="s">
        <v>232</v>
      </c>
      <c r="H72" s="1">
        <v>16876</v>
      </c>
      <c r="I72" s="6" t="e">
        <f t="shared" si="22"/>
        <v>#VALUE!</v>
      </c>
      <c r="J72" s="6" t="e">
        <f t="shared" si="23"/>
        <v>#VALUE!</v>
      </c>
      <c r="K72" s="5" t="e">
        <f t="shared" si="16"/>
        <v>#VALUE!</v>
      </c>
      <c r="L72" s="5" t="e">
        <f t="shared" si="17"/>
        <v>#VALUE!</v>
      </c>
      <c r="M72" s="3"/>
      <c r="N72" s="3" t="e">
        <v>#N/A</v>
      </c>
      <c r="O72" s="11" t="e">
        <v>#N/A</v>
      </c>
      <c r="P72" s="7" t="e">
        <f t="shared" si="24"/>
        <v>#N/A</v>
      </c>
      <c r="Q72" s="7" t="e">
        <f t="shared" si="25"/>
        <v>#N/A</v>
      </c>
      <c r="R72" s="5" t="e">
        <f t="shared" si="18"/>
        <v>#N/A</v>
      </c>
      <c r="S72" s="5" t="e">
        <f t="shared" si="19"/>
        <v>#N/A</v>
      </c>
      <c r="U72">
        <v>221120</v>
      </c>
      <c r="V72" s="1">
        <f>VLOOKUP(A72,[2]Sheet1!$A:$B,2,0)</f>
        <v>453013</v>
      </c>
      <c r="W72" s="6">
        <f t="shared" si="26"/>
        <v>221120</v>
      </c>
      <c r="X72" s="6">
        <f t="shared" si="27"/>
        <v>231893</v>
      </c>
      <c r="Y72" s="5" t="e">
        <f t="shared" si="20"/>
        <v>#DIV/0!</v>
      </c>
      <c r="Z72" s="5">
        <f t="shared" si="21"/>
        <v>1.0487201519536904</v>
      </c>
      <c r="AA72" s="9" t="e">
        <v>#N/A</v>
      </c>
      <c r="AB72" s="10" t="e">
        <v>#N/A</v>
      </c>
      <c r="AD72" t="e">
        <v>#N/A</v>
      </c>
      <c r="AE72" s="1" t="e">
        <v>#N/A</v>
      </c>
      <c r="AF72" s="6" t="e">
        <f t="shared" si="28"/>
        <v>#N/A</v>
      </c>
      <c r="AG72" s="6" t="e">
        <f t="shared" si="29"/>
        <v>#N/A</v>
      </c>
      <c r="AH72" s="5" t="e">
        <f t="shared" si="30"/>
        <v>#N/A</v>
      </c>
      <c r="AI72" s="5" t="e">
        <f t="shared" si="31"/>
        <v>#N/A</v>
      </c>
    </row>
    <row r="73" spans="1:35" x14ac:dyDescent="0.25">
      <c r="A73" s="2" t="s">
        <v>74</v>
      </c>
      <c r="B73" t="s">
        <v>215</v>
      </c>
      <c r="C73" t="e">
        <f>VLOOKUP(A73,[1]FO!$A$2:$A$69,2,0)</f>
        <v>#REF!</v>
      </c>
      <c r="D73" s="4">
        <v>-14.95</v>
      </c>
      <c r="E73" s="10">
        <v>-10.25</v>
      </c>
      <c r="G73" t="s">
        <v>232</v>
      </c>
      <c r="H73" s="1">
        <v>40232</v>
      </c>
      <c r="I73" s="6" t="e">
        <f t="shared" si="22"/>
        <v>#VALUE!</v>
      </c>
      <c r="J73" s="6" t="e">
        <f t="shared" si="23"/>
        <v>#VALUE!</v>
      </c>
      <c r="K73" s="5" t="e">
        <f t="shared" si="16"/>
        <v>#VALUE!</v>
      </c>
      <c r="L73" s="5" t="e">
        <f t="shared" si="17"/>
        <v>#VALUE!</v>
      </c>
      <c r="M73" s="3"/>
      <c r="N73" s="3">
        <v>517.25</v>
      </c>
      <c r="O73" s="11">
        <v>22.95</v>
      </c>
      <c r="P73" s="7">
        <f t="shared" si="24"/>
        <v>517.25</v>
      </c>
      <c r="Q73" s="7">
        <f t="shared" si="25"/>
        <v>-494.3</v>
      </c>
      <c r="R73" s="5" t="e">
        <f t="shared" si="18"/>
        <v>#DIV/0!</v>
      </c>
      <c r="S73" s="5">
        <f t="shared" si="19"/>
        <v>-0.95563073948767518</v>
      </c>
      <c r="U73">
        <v>201891</v>
      </c>
      <c r="V73" s="1">
        <f>VLOOKUP(A73,[2]Sheet1!$A:$B,2,0)</f>
        <v>2294731</v>
      </c>
      <c r="W73" s="6">
        <f t="shared" si="26"/>
        <v>201891</v>
      </c>
      <c r="X73" s="6">
        <f t="shared" si="27"/>
        <v>2092840</v>
      </c>
      <c r="Y73" s="5" t="e">
        <f t="shared" si="20"/>
        <v>#DIV/0!</v>
      </c>
      <c r="Z73" s="5">
        <f t="shared" si="21"/>
        <v>10.366187695340555</v>
      </c>
      <c r="AA73" s="9">
        <v>-1555400</v>
      </c>
      <c r="AB73" s="10">
        <v>-697400</v>
      </c>
      <c r="AD73">
        <v>1667</v>
      </c>
      <c r="AE73" s="1">
        <v>665</v>
      </c>
      <c r="AF73" s="6">
        <f t="shared" si="28"/>
        <v>1667</v>
      </c>
      <c r="AG73" s="6">
        <f t="shared" si="29"/>
        <v>-1002</v>
      </c>
      <c r="AH73" s="5" t="e">
        <f t="shared" si="30"/>
        <v>#DIV/0!</v>
      </c>
      <c r="AI73" s="5">
        <f t="shared" si="31"/>
        <v>-0.6010797840431914</v>
      </c>
    </row>
    <row r="74" spans="1:35" x14ac:dyDescent="0.25">
      <c r="A74" s="2" t="s">
        <v>75</v>
      </c>
      <c r="B74" t="s">
        <v>215</v>
      </c>
      <c r="C74" t="e">
        <f>VLOOKUP(A74,[1]FO!$A$2:$A$69,2,0)</f>
        <v>#N/A</v>
      </c>
      <c r="D74" s="4" t="e">
        <v>#N/A</v>
      </c>
      <c r="E74" s="10" t="e">
        <v>#N/A</v>
      </c>
      <c r="G74" t="e">
        <v>#N/A</v>
      </c>
      <c r="H74" s="1" t="e">
        <v>#N/A</v>
      </c>
      <c r="I74" s="6" t="e">
        <f t="shared" si="22"/>
        <v>#N/A</v>
      </c>
      <c r="J74" s="6" t="e">
        <f t="shared" si="23"/>
        <v>#N/A</v>
      </c>
      <c r="K74" s="5" t="e">
        <f t="shared" si="16"/>
        <v>#N/A</v>
      </c>
      <c r="L74" s="5" t="e">
        <f t="shared" si="17"/>
        <v>#N/A</v>
      </c>
      <c r="M74" s="3"/>
      <c r="N74" s="3" t="e">
        <v>#N/A</v>
      </c>
      <c r="O74" s="11" t="e">
        <v>#N/A</v>
      </c>
      <c r="P74" s="7" t="e">
        <f t="shared" si="24"/>
        <v>#N/A</v>
      </c>
      <c r="Q74" s="7" t="e">
        <f t="shared" si="25"/>
        <v>#N/A</v>
      </c>
      <c r="R74" s="5" t="e">
        <f t="shared" si="18"/>
        <v>#N/A</v>
      </c>
      <c r="S74" s="5" t="e">
        <f t="shared" si="19"/>
        <v>#N/A</v>
      </c>
      <c r="U74" t="e">
        <v>#N/A</v>
      </c>
      <c r="V74" s="1" t="e">
        <f>VLOOKUP(A74,[2]Sheet1!$A:$B,2,0)</f>
        <v>#N/A</v>
      </c>
      <c r="W74" s="6" t="e">
        <f t="shared" si="26"/>
        <v>#N/A</v>
      </c>
      <c r="X74" s="6" t="e">
        <f t="shared" si="27"/>
        <v>#N/A</v>
      </c>
      <c r="Y74" s="5" t="e">
        <f t="shared" si="20"/>
        <v>#N/A</v>
      </c>
      <c r="Z74" s="5" t="e">
        <f t="shared" si="21"/>
        <v>#N/A</v>
      </c>
      <c r="AA74" s="9" t="e">
        <v>#N/A</v>
      </c>
      <c r="AB74" s="10" t="e">
        <v>#N/A</v>
      </c>
      <c r="AD74" t="e">
        <v>#N/A</v>
      </c>
      <c r="AE74" s="1" t="e">
        <v>#N/A</v>
      </c>
      <c r="AF74" s="6" t="e">
        <f t="shared" si="28"/>
        <v>#N/A</v>
      </c>
      <c r="AG74" s="6" t="e">
        <f t="shared" si="29"/>
        <v>#N/A</v>
      </c>
      <c r="AH74" s="5" t="e">
        <f t="shared" si="30"/>
        <v>#N/A</v>
      </c>
      <c r="AI74" s="5" t="e">
        <f t="shared" si="31"/>
        <v>#N/A</v>
      </c>
    </row>
    <row r="75" spans="1:35" x14ac:dyDescent="0.25">
      <c r="A75" s="2" t="s">
        <v>76</v>
      </c>
      <c r="B75" t="s">
        <v>215</v>
      </c>
      <c r="C75" t="e">
        <f>VLOOKUP(A75,[1]FO!$A$2:$A$69,2,0)</f>
        <v>#REF!</v>
      </c>
      <c r="D75" s="4">
        <v>17.600000000000001</v>
      </c>
      <c r="E75" s="10">
        <v>26.05</v>
      </c>
      <c r="G75" t="s">
        <v>232</v>
      </c>
      <c r="H75" s="1">
        <v>142126</v>
      </c>
      <c r="I75" s="6" t="e">
        <f t="shared" si="22"/>
        <v>#VALUE!</v>
      </c>
      <c r="J75" s="6" t="e">
        <f t="shared" si="23"/>
        <v>#VALUE!</v>
      </c>
      <c r="K75" s="5" t="e">
        <f t="shared" si="16"/>
        <v>#VALUE!</v>
      </c>
      <c r="L75" s="5" t="e">
        <f t="shared" si="17"/>
        <v>#VALUE!</v>
      </c>
      <c r="M75" s="3"/>
      <c r="N75" s="3">
        <v>324.35000000000002</v>
      </c>
      <c r="O75" s="11">
        <v>85.09</v>
      </c>
      <c r="P75" s="7">
        <f t="shared" si="24"/>
        <v>324.35000000000002</v>
      </c>
      <c r="Q75" s="7">
        <f t="shared" si="25"/>
        <v>-239.26000000000002</v>
      </c>
      <c r="R75" s="5" t="e">
        <f t="shared" si="18"/>
        <v>#DIV/0!</v>
      </c>
      <c r="S75" s="5">
        <f t="shared" si="19"/>
        <v>-0.73765993525512563</v>
      </c>
      <c r="U75">
        <v>323874</v>
      </c>
      <c r="V75" s="1">
        <f>VLOOKUP(A75,[2]Sheet1!$A:$B,2,0)</f>
        <v>8508750</v>
      </c>
      <c r="W75" s="6">
        <f t="shared" si="26"/>
        <v>323874</v>
      </c>
      <c r="X75" s="6">
        <f t="shared" si="27"/>
        <v>8184876</v>
      </c>
      <c r="Y75" s="5" t="e">
        <f t="shared" si="20"/>
        <v>#DIV/0!</v>
      </c>
      <c r="Z75" s="5">
        <f t="shared" si="21"/>
        <v>25.271790881639156</v>
      </c>
      <c r="AA75" s="9">
        <v>-1545700</v>
      </c>
      <c r="AB75" s="10">
        <v>-1471600</v>
      </c>
      <c r="AD75">
        <v>2844</v>
      </c>
      <c r="AE75" s="1">
        <v>3499</v>
      </c>
      <c r="AF75" s="6">
        <f t="shared" si="28"/>
        <v>2844</v>
      </c>
      <c r="AG75" s="6">
        <f t="shared" si="29"/>
        <v>655</v>
      </c>
      <c r="AH75" s="5" t="e">
        <f t="shared" si="30"/>
        <v>#DIV/0!</v>
      </c>
      <c r="AI75" s="5">
        <f t="shared" si="31"/>
        <v>0.23030942334739804</v>
      </c>
    </row>
    <row r="76" spans="1:35" x14ac:dyDescent="0.25">
      <c r="A76" s="2" t="s">
        <v>77</v>
      </c>
      <c r="B76" t="s">
        <v>215</v>
      </c>
      <c r="C76" t="e">
        <f>VLOOKUP(A76,[1]FO!$A$2:$A$69,2,0)</f>
        <v>#REF!</v>
      </c>
      <c r="D76" s="4">
        <v>0</v>
      </c>
      <c r="E76" s="10">
        <v>1.65</v>
      </c>
      <c r="G76" t="s">
        <v>232</v>
      </c>
      <c r="H76" s="1">
        <v>51754</v>
      </c>
      <c r="I76" s="6" t="e">
        <f t="shared" si="22"/>
        <v>#VALUE!</v>
      </c>
      <c r="J76" s="6" t="e">
        <f t="shared" si="23"/>
        <v>#VALUE!</v>
      </c>
      <c r="K76" s="5" t="e">
        <f t="shared" si="16"/>
        <v>#VALUE!</v>
      </c>
      <c r="L76" s="5" t="e">
        <f t="shared" si="17"/>
        <v>#VALUE!</v>
      </c>
      <c r="M76" s="3"/>
      <c r="N76" s="3">
        <v>22.9</v>
      </c>
      <c r="O76" s="11">
        <v>562.61</v>
      </c>
      <c r="P76" s="7">
        <f t="shared" si="24"/>
        <v>22.9</v>
      </c>
      <c r="Q76" s="7">
        <f t="shared" si="25"/>
        <v>539.71</v>
      </c>
      <c r="R76" s="5" t="e">
        <f t="shared" si="18"/>
        <v>#DIV/0!</v>
      </c>
      <c r="S76" s="5">
        <f t="shared" si="19"/>
        <v>23.568122270742361</v>
      </c>
      <c r="U76">
        <v>4264168</v>
      </c>
      <c r="V76" s="1">
        <f>VLOOKUP(A76,[2]Sheet1!$A:$B,2,0)</f>
        <v>56261295</v>
      </c>
      <c r="W76" s="6">
        <f t="shared" si="26"/>
        <v>4264168</v>
      </c>
      <c r="X76" s="6">
        <f t="shared" si="27"/>
        <v>51997127</v>
      </c>
      <c r="Y76" s="5" t="e">
        <f t="shared" si="20"/>
        <v>#DIV/0!</v>
      </c>
      <c r="Z76" s="5">
        <f t="shared" si="21"/>
        <v>12.193967732978626</v>
      </c>
      <c r="AA76" s="9">
        <v>-14830400</v>
      </c>
      <c r="AB76" s="10">
        <v>-14435200</v>
      </c>
      <c r="AD76">
        <v>3270</v>
      </c>
      <c r="AE76" s="1">
        <v>3415</v>
      </c>
      <c r="AF76" s="6">
        <f t="shared" si="28"/>
        <v>3270</v>
      </c>
      <c r="AG76" s="6">
        <f t="shared" si="29"/>
        <v>145</v>
      </c>
      <c r="AH76" s="5" t="e">
        <f t="shared" si="30"/>
        <v>#DIV/0!</v>
      </c>
      <c r="AI76" s="5">
        <f t="shared" si="31"/>
        <v>4.4342507645259939E-2</v>
      </c>
    </row>
    <row r="77" spans="1:35" x14ac:dyDescent="0.25">
      <c r="A77" s="2" t="s">
        <v>78</v>
      </c>
      <c r="B77" t="s">
        <v>215</v>
      </c>
      <c r="C77" t="e">
        <f>VLOOKUP(A77,[1]FO!$A$2:$A$69,2,0)</f>
        <v>#REF!</v>
      </c>
      <c r="D77" s="4">
        <v>0.15</v>
      </c>
      <c r="E77" s="10">
        <v>1.95</v>
      </c>
      <c r="G77" t="s">
        <v>232</v>
      </c>
      <c r="H77" s="1">
        <v>63328</v>
      </c>
      <c r="I77" s="6" t="e">
        <f t="shared" si="22"/>
        <v>#VALUE!</v>
      </c>
      <c r="J77" s="6" t="e">
        <f t="shared" si="23"/>
        <v>#VALUE!</v>
      </c>
      <c r="K77" s="5" t="e">
        <f t="shared" si="16"/>
        <v>#VALUE!</v>
      </c>
      <c r="L77" s="5" t="e">
        <f t="shared" si="17"/>
        <v>#VALUE!</v>
      </c>
      <c r="M77" s="3"/>
      <c r="N77" s="3">
        <v>360</v>
      </c>
      <c r="O77" s="11">
        <v>58.7</v>
      </c>
      <c r="P77" s="7">
        <f t="shared" si="24"/>
        <v>360</v>
      </c>
      <c r="Q77" s="7">
        <f t="shared" si="25"/>
        <v>-301.3</v>
      </c>
      <c r="R77" s="5" t="e">
        <f t="shared" si="18"/>
        <v>#DIV/0!</v>
      </c>
      <c r="S77" s="5">
        <f t="shared" si="19"/>
        <v>-0.83694444444444449</v>
      </c>
      <c r="U77">
        <v>2319665</v>
      </c>
      <c r="V77" s="1">
        <f>VLOOKUP(A77,[2]Sheet1!$A:$B,2,0)</f>
        <v>5869794</v>
      </c>
      <c r="W77" s="6">
        <f t="shared" si="26"/>
        <v>2319665</v>
      </c>
      <c r="X77" s="6">
        <f t="shared" si="27"/>
        <v>3550129</v>
      </c>
      <c r="Y77" s="5" t="e">
        <f t="shared" si="20"/>
        <v>#DIV/0!</v>
      </c>
      <c r="Z77" s="5">
        <f t="shared" si="21"/>
        <v>1.5304490088008398</v>
      </c>
      <c r="AA77" s="9">
        <v>-4634500</v>
      </c>
      <c r="AB77" s="10">
        <v>-1520300</v>
      </c>
      <c r="AD77">
        <v>4755</v>
      </c>
      <c r="AE77" s="1">
        <v>1681</v>
      </c>
      <c r="AF77" s="6">
        <f t="shared" si="28"/>
        <v>4755</v>
      </c>
      <c r="AG77" s="6">
        <f t="shared" si="29"/>
        <v>-3074</v>
      </c>
      <c r="AH77" s="5" t="e">
        <f t="shared" si="30"/>
        <v>#DIV/0!</v>
      </c>
      <c r="AI77" s="5">
        <f t="shared" si="31"/>
        <v>-0.64647739221871714</v>
      </c>
    </row>
    <row r="78" spans="1:35" x14ac:dyDescent="0.25">
      <c r="A78" s="2" t="s">
        <v>79</v>
      </c>
      <c r="B78" t="s">
        <v>215</v>
      </c>
      <c r="C78" t="e">
        <f>VLOOKUP(A78,[1]FO!$A$2:$A$69,2,0)</f>
        <v>#REF!</v>
      </c>
      <c r="D78" s="4">
        <v>1.05</v>
      </c>
      <c r="E78" s="10">
        <v>3.7</v>
      </c>
      <c r="G78" t="s">
        <v>232</v>
      </c>
      <c r="H78" s="1">
        <v>71096</v>
      </c>
      <c r="I78" s="6" t="e">
        <f t="shared" si="22"/>
        <v>#VALUE!</v>
      </c>
      <c r="J78" s="6" t="e">
        <f t="shared" si="23"/>
        <v>#VALUE!</v>
      </c>
      <c r="K78" s="5" t="e">
        <f t="shared" si="16"/>
        <v>#VALUE!</v>
      </c>
      <c r="L78" s="5" t="e">
        <f t="shared" si="17"/>
        <v>#VALUE!</v>
      </c>
      <c r="M78" s="3"/>
      <c r="N78" s="3">
        <v>3205</v>
      </c>
      <c r="O78" s="11">
        <v>10.220000000000001</v>
      </c>
      <c r="P78" s="7">
        <f t="shared" si="24"/>
        <v>3205</v>
      </c>
      <c r="Q78" s="7">
        <f t="shared" si="25"/>
        <v>-3194.78</v>
      </c>
      <c r="R78" s="5" t="e">
        <f t="shared" si="18"/>
        <v>#DIV/0!</v>
      </c>
      <c r="S78" s="5">
        <f t="shared" si="19"/>
        <v>-0.99681123244929803</v>
      </c>
      <c r="U78">
        <v>181591</v>
      </c>
      <c r="V78" s="1">
        <f>VLOOKUP(A78,[2]Sheet1!$A:$B,2,0)</f>
        <v>1021592</v>
      </c>
      <c r="W78" s="6">
        <f t="shared" si="26"/>
        <v>181591</v>
      </c>
      <c r="X78" s="6">
        <f t="shared" si="27"/>
        <v>840001</v>
      </c>
      <c r="Y78" s="5" t="e">
        <f t="shared" si="20"/>
        <v>#DIV/0!</v>
      </c>
      <c r="Z78" s="5">
        <f t="shared" si="21"/>
        <v>4.6257854188808913</v>
      </c>
      <c r="AA78" s="9">
        <v>-549600</v>
      </c>
      <c r="AB78" s="10">
        <v>-71000</v>
      </c>
      <c r="AD78">
        <v>6853</v>
      </c>
      <c r="AE78" s="1">
        <v>2046</v>
      </c>
      <c r="AF78" s="6">
        <f t="shared" si="28"/>
        <v>6853</v>
      </c>
      <c r="AG78" s="6">
        <f t="shared" si="29"/>
        <v>-4807</v>
      </c>
      <c r="AH78" s="5" t="e">
        <f t="shared" si="30"/>
        <v>#DIV/0!</v>
      </c>
      <c r="AI78" s="5">
        <f t="shared" si="31"/>
        <v>-0.7014446227929374</v>
      </c>
    </row>
    <row r="79" spans="1:35" x14ac:dyDescent="0.25">
      <c r="A79" s="2" t="s">
        <v>80</v>
      </c>
      <c r="B79" t="s">
        <v>215</v>
      </c>
      <c r="C79" t="e">
        <f>VLOOKUP(A79,[1]FO!$A$2:$A$69,2,0)</f>
        <v>#REF!</v>
      </c>
      <c r="D79" s="4">
        <v>0.65</v>
      </c>
      <c r="E79" s="10">
        <v>-2.75</v>
      </c>
      <c r="G79" t="s">
        <v>232</v>
      </c>
      <c r="H79" s="1">
        <v>62848</v>
      </c>
      <c r="I79" s="6" t="e">
        <f t="shared" si="22"/>
        <v>#VALUE!</v>
      </c>
      <c r="J79" s="6" t="e">
        <f t="shared" si="23"/>
        <v>#VALUE!</v>
      </c>
      <c r="K79" s="5" t="e">
        <f t="shared" si="16"/>
        <v>#VALUE!</v>
      </c>
      <c r="L79" s="5" t="e">
        <f t="shared" si="17"/>
        <v>#VALUE!</v>
      </c>
      <c r="M79" s="3"/>
      <c r="N79" s="3">
        <v>332</v>
      </c>
      <c r="O79" s="11">
        <v>50.85</v>
      </c>
      <c r="P79" s="7">
        <f t="shared" si="24"/>
        <v>332</v>
      </c>
      <c r="Q79" s="7">
        <f t="shared" si="25"/>
        <v>-281.14999999999998</v>
      </c>
      <c r="R79" s="5" t="e">
        <f t="shared" si="18"/>
        <v>#DIV/0!</v>
      </c>
      <c r="S79" s="5">
        <f t="shared" si="19"/>
        <v>-0.84683734939759026</v>
      </c>
      <c r="U79">
        <v>1407504</v>
      </c>
      <c r="V79" s="1">
        <f>VLOOKUP(A79,[2]Sheet1!$A:$B,2,0)</f>
        <v>5084577</v>
      </c>
      <c r="W79" s="6">
        <f t="shared" si="26"/>
        <v>1407504</v>
      </c>
      <c r="X79" s="6">
        <f t="shared" si="27"/>
        <v>3677073</v>
      </c>
      <c r="Y79" s="5" t="e">
        <f t="shared" si="20"/>
        <v>#DIV/0!</v>
      </c>
      <c r="Z79" s="5">
        <f t="shared" si="21"/>
        <v>2.6124778331002969</v>
      </c>
      <c r="AA79" s="9">
        <v>-2725800</v>
      </c>
      <c r="AB79" s="10">
        <v>-1546600</v>
      </c>
      <c r="AD79">
        <v>3614</v>
      </c>
      <c r="AE79" s="1">
        <v>1932</v>
      </c>
      <c r="AF79" s="6">
        <f t="shared" si="28"/>
        <v>3614</v>
      </c>
      <c r="AG79" s="6">
        <f t="shared" si="29"/>
        <v>-1682</v>
      </c>
      <c r="AH79" s="5" t="e">
        <f t="shared" si="30"/>
        <v>#DIV/0!</v>
      </c>
      <c r="AI79" s="5">
        <f t="shared" si="31"/>
        <v>-0.46541228555617042</v>
      </c>
    </row>
    <row r="80" spans="1:35" x14ac:dyDescent="0.25">
      <c r="A80" s="2" t="s">
        <v>81</v>
      </c>
      <c r="B80" t="s">
        <v>215</v>
      </c>
      <c r="C80" t="e">
        <f>VLOOKUP(A80,[1]FO!$A$2:$A$69,2,0)</f>
        <v>#REF!</v>
      </c>
      <c r="D80" s="4">
        <v>3.15</v>
      </c>
      <c r="E80" s="10">
        <v>0.35</v>
      </c>
      <c r="G80" t="s">
        <v>232</v>
      </c>
      <c r="H80" s="1">
        <v>57282</v>
      </c>
      <c r="I80" s="6" t="e">
        <f t="shared" si="22"/>
        <v>#VALUE!</v>
      </c>
      <c r="J80" s="6" t="e">
        <f t="shared" si="23"/>
        <v>#VALUE!</v>
      </c>
      <c r="K80" s="5" t="e">
        <f t="shared" si="16"/>
        <v>#VALUE!</v>
      </c>
      <c r="L80" s="5" t="e">
        <f t="shared" si="17"/>
        <v>#VALUE!</v>
      </c>
      <c r="M80" s="3"/>
      <c r="N80" s="3">
        <v>91.2</v>
      </c>
      <c r="O80" s="11">
        <v>142.78</v>
      </c>
      <c r="P80" s="7">
        <f t="shared" si="24"/>
        <v>91.2</v>
      </c>
      <c r="Q80" s="7">
        <f t="shared" si="25"/>
        <v>51.58</v>
      </c>
      <c r="R80" s="5" t="e">
        <f t="shared" si="18"/>
        <v>#DIV/0!</v>
      </c>
      <c r="S80" s="5">
        <f t="shared" si="19"/>
        <v>0.56557017543859645</v>
      </c>
      <c r="U80">
        <v>2289748</v>
      </c>
      <c r="V80" s="1">
        <f>VLOOKUP(A80,[2]Sheet1!$A:$B,2,0)</f>
        <v>14278203</v>
      </c>
      <c r="W80" s="6">
        <f t="shared" si="26"/>
        <v>2289748</v>
      </c>
      <c r="X80" s="6">
        <f t="shared" si="27"/>
        <v>11988455</v>
      </c>
      <c r="Y80" s="5" t="e">
        <f t="shared" si="20"/>
        <v>#DIV/0!</v>
      </c>
      <c r="Z80" s="5">
        <f t="shared" si="21"/>
        <v>5.2357093444344089</v>
      </c>
      <c r="AA80" s="9">
        <v>-959400</v>
      </c>
      <c r="AB80" s="10">
        <v>-2028000</v>
      </c>
      <c r="AD80">
        <v>4326</v>
      </c>
      <c r="AE80" s="1">
        <v>2249</v>
      </c>
      <c r="AF80" s="6">
        <f t="shared" si="28"/>
        <v>4326</v>
      </c>
      <c r="AG80" s="6">
        <f t="shared" si="29"/>
        <v>-2077</v>
      </c>
      <c r="AH80" s="5" t="e">
        <f t="shared" si="30"/>
        <v>#DIV/0!</v>
      </c>
      <c r="AI80" s="5">
        <f t="shared" si="31"/>
        <v>-0.48012020342117429</v>
      </c>
    </row>
    <row r="81" spans="1:35" x14ac:dyDescent="0.25">
      <c r="A81" s="2" t="s">
        <v>82</v>
      </c>
      <c r="B81" t="s">
        <v>215</v>
      </c>
      <c r="C81" t="e">
        <f>VLOOKUP(A81,[1]FO!$A$2:$A$69,2,0)</f>
        <v>#N/A</v>
      </c>
      <c r="D81" s="4" t="e">
        <v>#N/A</v>
      </c>
      <c r="E81" s="10" t="e">
        <v>#N/A</v>
      </c>
      <c r="G81" t="s">
        <v>232</v>
      </c>
      <c r="H81" s="1">
        <v>17428</v>
      </c>
      <c r="I81" s="6" t="e">
        <f t="shared" si="22"/>
        <v>#VALUE!</v>
      </c>
      <c r="J81" s="6" t="e">
        <f t="shared" si="23"/>
        <v>#VALUE!</v>
      </c>
      <c r="K81" s="5" t="e">
        <f t="shared" si="16"/>
        <v>#VALUE!</v>
      </c>
      <c r="L81" s="5" t="e">
        <f t="shared" si="17"/>
        <v>#VALUE!</v>
      </c>
      <c r="M81" s="3"/>
      <c r="N81" s="3" t="e">
        <v>#N/A</v>
      </c>
      <c r="O81" s="11" t="e">
        <v>#N/A</v>
      </c>
      <c r="P81" s="7" t="e">
        <f t="shared" si="24"/>
        <v>#N/A</v>
      </c>
      <c r="Q81" s="7" t="e">
        <f t="shared" si="25"/>
        <v>#N/A</v>
      </c>
      <c r="R81" s="5" t="e">
        <f t="shared" si="18"/>
        <v>#N/A</v>
      </c>
      <c r="S81" s="5" t="e">
        <f t="shared" si="19"/>
        <v>#N/A</v>
      </c>
      <c r="U81">
        <v>244600</v>
      </c>
      <c r="V81" s="1">
        <f>VLOOKUP(A81,[2]Sheet1!$A:$B,2,0)</f>
        <v>734522</v>
      </c>
      <c r="W81" s="6">
        <f t="shared" si="26"/>
        <v>244600</v>
      </c>
      <c r="X81" s="6">
        <f t="shared" si="27"/>
        <v>489922</v>
      </c>
      <c r="Y81" s="5" t="e">
        <f t="shared" si="20"/>
        <v>#DIV/0!</v>
      </c>
      <c r="Z81" s="5">
        <f t="shared" si="21"/>
        <v>2.0029517579721996</v>
      </c>
      <c r="AA81" s="9" t="e">
        <v>#N/A</v>
      </c>
      <c r="AB81" s="10" t="e">
        <v>#N/A</v>
      </c>
      <c r="AD81" t="e">
        <v>#N/A</v>
      </c>
      <c r="AE81" s="1" t="e">
        <v>#N/A</v>
      </c>
      <c r="AF81" s="6" t="e">
        <f t="shared" si="28"/>
        <v>#N/A</v>
      </c>
      <c r="AG81" s="6" t="e">
        <f t="shared" si="29"/>
        <v>#N/A</v>
      </c>
      <c r="AH81" s="5" t="e">
        <f t="shared" si="30"/>
        <v>#N/A</v>
      </c>
      <c r="AI81" s="5" t="e">
        <f t="shared" si="31"/>
        <v>#N/A</v>
      </c>
    </row>
    <row r="82" spans="1:35" x14ac:dyDescent="0.25">
      <c r="A82" s="2" t="s">
        <v>83</v>
      </c>
      <c r="B82" t="s">
        <v>215</v>
      </c>
      <c r="C82" t="e">
        <f>VLOOKUP(A82,[1]FO!$A$2:$A$69,2,0)</f>
        <v>#N/A</v>
      </c>
      <c r="D82" s="4" t="e">
        <v>#N/A</v>
      </c>
      <c r="E82" s="10" t="e">
        <v>#N/A</v>
      </c>
      <c r="G82" t="e">
        <v>#N/A</v>
      </c>
      <c r="H82" s="1" t="e">
        <v>#N/A</v>
      </c>
      <c r="I82" s="6" t="e">
        <f t="shared" si="22"/>
        <v>#N/A</v>
      </c>
      <c r="J82" s="6" t="e">
        <f t="shared" si="23"/>
        <v>#N/A</v>
      </c>
      <c r="K82" s="5" t="e">
        <f t="shared" si="16"/>
        <v>#N/A</v>
      </c>
      <c r="L82" s="5" t="e">
        <f t="shared" si="17"/>
        <v>#N/A</v>
      </c>
      <c r="M82" s="3"/>
      <c r="N82" s="3" t="e">
        <v>#N/A</v>
      </c>
      <c r="O82" s="11" t="e">
        <v>#N/A</v>
      </c>
      <c r="P82" s="7" t="e">
        <f t="shared" si="24"/>
        <v>#N/A</v>
      </c>
      <c r="Q82" s="7" t="e">
        <f t="shared" si="25"/>
        <v>#N/A</v>
      </c>
      <c r="R82" s="5" t="e">
        <f t="shared" si="18"/>
        <v>#N/A</v>
      </c>
      <c r="S82" s="5" t="e">
        <f t="shared" si="19"/>
        <v>#N/A</v>
      </c>
      <c r="U82" t="e">
        <v>#N/A</v>
      </c>
      <c r="V82" s="1" t="e">
        <f>VLOOKUP(A82,[2]Sheet1!$A:$B,2,0)</f>
        <v>#N/A</v>
      </c>
      <c r="W82" s="6" t="e">
        <f t="shared" si="26"/>
        <v>#N/A</v>
      </c>
      <c r="X82" s="6" t="e">
        <f t="shared" si="27"/>
        <v>#N/A</v>
      </c>
      <c r="Y82" s="5" t="e">
        <f t="shared" si="20"/>
        <v>#N/A</v>
      </c>
      <c r="Z82" s="5" t="e">
        <f t="shared" si="21"/>
        <v>#N/A</v>
      </c>
      <c r="AA82" s="9" t="e">
        <v>#N/A</v>
      </c>
      <c r="AB82" s="10" t="e">
        <v>#N/A</v>
      </c>
      <c r="AD82" t="e">
        <v>#N/A</v>
      </c>
      <c r="AE82" s="1" t="e">
        <v>#N/A</v>
      </c>
      <c r="AF82" s="6" t="e">
        <f t="shared" si="28"/>
        <v>#N/A</v>
      </c>
      <c r="AG82" s="6" t="e">
        <f t="shared" si="29"/>
        <v>#N/A</v>
      </c>
      <c r="AH82" s="5" t="e">
        <f t="shared" si="30"/>
        <v>#N/A</v>
      </c>
      <c r="AI82" s="5" t="e">
        <f t="shared" si="31"/>
        <v>#N/A</v>
      </c>
    </row>
    <row r="83" spans="1:35" x14ac:dyDescent="0.25">
      <c r="A83" s="2" t="s">
        <v>84</v>
      </c>
      <c r="B83" t="s">
        <v>215</v>
      </c>
      <c r="C83" t="e">
        <f>VLOOKUP(A83,[1]FO!$A$2:$A$69,2,0)</f>
        <v>#N/A</v>
      </c>
      <c r="D83" s="4" t="e">
        <v>#N/A</v>
      </c>
      <c r="E83" s="10" t="e">
        <v>#N/A</v>
      </c>
      <c r="G83" t="s">
        <v>232</v>
      </c>
      <c r="H83" s="1">
        <v>26764</v>
      </c>
      <c r="I83" s="6" t="e">
        <f t="shared" si="22"/>
        <v>#VALUE!</v>
      </c>
      <c r="J83" s="6" t="e">
        <f t="shared" si="23"/>
        <v>#VALUE!</v>
      </c>
      <c r="K83" s="5" t="e">
        <f t="shared" si="16"/>
        <v>#VALUE!</v>
      </c>
      <c r="L83" s="5" t="e">
        <f t="shared" si="17"/>
        <v>#VALUE!</v>
      </c>
      <c r="M83" s="3"/>
      <c r="N83" s="3" t="e">
        <v>#N/A</v>
      </c>
      <c r="O83" s="11" t="e">
        <v>#N/A</v>
      </c>
      <c r="P83" s="7" t="e">
        <f t="shared" si="24"/>
        <v>#N/A</v>
      </c>
      <c r="Q83" s="7" t="e">
        <f t="shared" si="25"/>
        <v>#N/A</v>
      </c>
      <c r="R83" s="5" t="e">
        <f t="shared" si="18"/>
        <v>#N/A</v>
      </c>
      <c r="S83" s="5" t="e">
        <f t="shared" si="19"/>
        <v>#N/A</v>
      </c>
      <c r="U83">
        <v>256659</v>
      </c>
      <c r="V83" s="1">
        <f>VLOOKUP(A83,[2]Sheet1!$A:$B,2,0)</f>
        <v>1462098</v>
      </c>
      <c r="W83" s="6">
        <f t="shared" si="26"/>
        <v>256659</v>
      </c>
      <c r="X83" s="6">
        <f t="shared" si="27"/>
        <v>1205439</v>
      </c>
      <c r="Y83" s="5" t="e">
        <f t="shared" si="20"/>
        <v>#DIV/0!</v>
      </c>
      <c r="Z83" s="5">
        <f t="shared" si="21"/>
        <v>4.6966558741364999</v>
      </c>
      <c r="AA83" s="9" t="e">
        <v>#N/A</v>
      </c>
      <c r="AB83" s="10" t="e">
        <v>#N/A</v>
      </c>
      <c r="AD83" t="e">
        <v>#N/A</v>
      </c>
      <c r="AE83" s="1" t="e">
        <v>#N/A</v>
      </c>
      <c r="AF83" s="6" t="e">
        <f t="shared" si="28"/>
        <v>#N/A</v>
      </c>
      <c r="AG83" s="6" t="e">
        <f t="shared" si="29"/>
        <v>#N/A</v>
      </c>
      <c r="AH83" s="5" t="e">
        <f t="shared" si="30"/>
        <v>#N/A</v>
      </c>
      <c r="AI83" s="5" t="e">
        <f t="shared" si="31"/>
        <v>#N/A</v>
      </c>
    </row>
    <row r="84" spans="1:35" x14ac:dyDescent="0.25">
      <c r="A84" s="2" t="s">
        <v>85</v>
      </c>
      <c r="B84" t="s">
        <v>215</v>
      </c>
      <c r="C84" t="e">
        <f>VLOOKUP(A84,[1]FO!$A$2:$A$69,2,0)</f>
        <v>#N/A</v>
      </c>
      <c r="D84" s="4" t="e">
        <v>#N/A</v>
      </c>
      <c r="E84" s="10" t="e">
        <v>#N/A</v>
      </c>
      <c r="G84" t="s">
        <v>232</v>
      </c>
      <c r="H84" s="1">
        <v>18671</v>
      </c>
      <c r="I84" s="6" t="e">
        <f t="shared" si="22"/>
        <v>#VALUE!</v>
      </c>
      <c r="J84" s="6" t="e">
        <f t="shared" si="23"/>
        <v>#VALUE!</v>
      </c>
      <c r="K84" s="5" t="e">
        <f t="shared" si="16"/>
        <v>#VALUE!</v>
      </c>
      <c r="L84" s="5" t="e">
        <f t="shared" si="17"/>
        <v>#VALUE!</v>
      </c>
      <c r="M84" s="3"/>
      <c r="N84" s="3" t="e">
        <v>#N/A</v>
      </c>
      <c r="O84" s="11" t="e">
        <v>#N/A</v>
      </c>
      <c r="P84" s="7" t="e">
        <f t="shared" si="24"/>
        <v>#N/A</v>
      </c>
      <c r="Q84" s="7" t="e">
        <f t="shared" si="25"/>
        <v>#N/A</v>
      </c>
      <c r="R84" s="5" t="e">
        <f t="shared" si="18"/>
        <v>#N/A</v>
      </c>
      <c r="S84" s="5" t="e">
        <f t="shared" si="19"/>
        <v>#N/A</v>
      </c>
      <c r="U84">
        <v>82516</v>
      </c>
      <c r="V84" s="1">
        <f>VLOOKUP(A84,[2]Sheet1!$A:$B,2,0)</f>
        <v>498362</v>
      </c>
      <c r="W84" s="6">
        <f t="shared" si="26"/>
        <v>82516</v>
      </c>
      <c r="X84" s="6">
        <f t="shared" si="27"/>
        <v>415846</v>
      </c>
      <c r="Y84" s="5" t="e">
        <f t="shared" si="20"/>
        <v>#DIV/0!</v>
      </c>
      <c r="Z84" s="5">
        <f t="shared" si="21"/>
        <v>5.0395802026273691</v>
      </c>
      <c r="AA84" s="9" t="e">
        <v>#N/A</v>
      </c>
      <c r="AB84" s="10" t="e">
        <v>#N/A</v>
      </c>
      <c r="AD84" t="e">
        <v>#N/A</v>
      </c>
      <c r="AE84" s="1" t="e">
        <v>#N/A</v>
      </c>
      <c r="AF84" s="6" t="e">
        <f t="shared" si="28"/>
        <v>#N/A</v>
      </c>
      <c r="AG84" s="6" t="e">
        <f t="shared" si="29"/>
        <v>#N/A</v>
      </c>
      <c r="AH84" s="5" t="e">
        <f t="shared" si="30"/>
        <v>#N/A</v>
      </c>
      <c r="AI84" s="5" t="e">
        <f t="shared" si="31"/>
        <v>#N/A</v>
      </c>
    </row>
    <row r="85" spans="1:35" x14ac:dyDescent="0.25">
      <c r="A85" s="2" t="s">
        <v>86</v>
      </c>
      <c r="B85" t="s">
        <v>215</v>
      </c>
      <c r="C85" t="e">
        <f>VLOOKUP(A85,[1]FO!$A$2:$A$69,2,0)</f>
        <v>#REF!</v>
      </c>
      <c r="D85" s="4">
        <v>3.6</v>
      </c>
      <c r="E85" s="10">
        <v>0.35</v>
      </c>
      <c r="G85" t="s">
        <v>232</v>
      </c>
      <c r="H85" s="1">
        <v>36141</v>
      </c>
      <c r="I85" s="6" t="e">
        <f t="shared" si="22"/>
        <v>#VALUE!</v>
      </c>
      <c r="J85" s="6" t="e">
        <f t="shared" si="23"/>
        <v>#VALUE!</v>
      </c>
      <c r="K85" s="5" t="e">
        <f t="shared" si="16"/>
        <v>#VALUE!</v>
      </c>
      <c r="L85" s="5" t="e">
        <f t="shared" si="17"/>
        <v>#VALUE!</v>
      </c>
      <c r="M85" s="3"/>
      <c r="N85" s="3">
        <v>309.39999999999998</v>
      </c>
      <c r="O85" s="11">
        <v>24.38</v>
      </c>
      <c r="P85" s="7">
        <f t="shared" si="24"/>
        <v>309.39999999999998</v>
      </c>
      <c r="Q85" s="7">
        <f t="shared" si="25"/>
        <v>-285.02</v>
      </c>
      <c r="R85" s="5" t="e">
        <f t="shared" si="18"/>
        <v>#DIV/0!</v>
      </c>
      <c r="S85" s="5">
        <f t="shared" si="19"/>
        <v>-0.92120232708468008</v>
      </c>
      <c r="U85">
        <v>241144</v>
      </c>
      <c r="V85" s="1">
        <f>VLOOKUP(A85,[2]Sheet1!$A:$B,2,0)</f>
        <v>2437836</v>
      </c>
      <c r="W85" s="6">
        <f t="shared" si="26"/>
        <v>241144</v>
      </c>
      <c r="X85" s="6">
        <f t="shared" si="27"/>
        <v>2196692</v>
      </c>
      <c r="Y85" s="5" t="e">
        <f t="shared" si="20"/>
        <v>#DIV/0!</v>
      </c>
      <c r="Z85" s="5">
        <f t="shared" si="21"/>
        <v>9.1094615665328593</v>
      </c>
      <c r="AA85" s="9">
        <v>-639600</v>
      </c>
      <c r="AB85" s="10">
        <v>-292200</v>
      </c>
      <c r="AD85">
        <v>3495</v>
      </c>
      <c r="AE85" s="1">
        <v>1683</v>
      </c>
      <c r="AF85" s="6">
        <f t="shared" si="28"/>
        <v>3495</v>
      </c>
      <c r="AG85" s="6">
        <f t="shared" si="29"/>
        <v>-1812</v>
      </c>
      <c r="AH85" s="5" t="e">
        <f t="shared" si="30"/>
        <v>#DIV/0!</v>
      </c>
      <c r="AI85" s="5">
        <f t="shared" si="31"/>
        <v>-0.51845493562231759</v>
      </c>
    </row>
    <row r="86" spans="1:35" x14ac:dyDescent="0.25">
      <c r="A86" s="2" t="s">
        <v>87</v>
      </c>
      <c r="B86" t="s">
        <v>215</v>
      </c>
      <c r="C86" t="e">
        <f>VLOOKUP(A86,[1]FO!$A$2:$A$69,2,0)</f>
        <v>#REF!</v>
      </c>
      <c r="D86" s="4">
        <v>22.25</v>
      </c>
      <c r="E86" s="10">
        <v>27.65</v>
      </c>
      <c r="G86" t="s">
        <v>232</v>
      </c>
      <c r="H86" s="1">
        <v>27450</v>
      </c>
      <c r="I86" s="6" t="e">
        <f t="shared" si="22"/>
        <v>#VALUE!</v>
      </c>
      <c r="J86" s="6" t="e">
        <f t="shared" si="23"/>
        <v>#VALUE!</v>
      </c>
      <c r="K86" s="5" t="e">
        <f t="shared" si="16"/>
        <v>#VALUE!</v>
      </c>
      <c r="L86" s="5" t="e">
        <f t="shared" si="17"/>
        <v>#VALUE!</v>
      </c>
      <c r="M86" s="3"/>
      <c r="N86" s="3">
        <v>668.3</v>
      </c>
      <c r="O86" s="11">
        <v>13.04</v>
      </c>
      <c r="P86" s="7">
        <f t="shared" si="24"/>
        <v>668.3</v>
      </c>
      <c r="Q86" s="7">
        <f t="shared" si="25"/>
        <v>-655.26</v>
      </c>
      <c r="R86" s="5" t="e">
        <f t="shared" si="18"/>
        <v>#DIV/0!</v>
      </c>
      <c r="S86" s="5">
        <f t="shared" si="19"/>
        <v>-0.98048780487804887</v>
      </c>
      <c r="U86">
        <v>152096</v>
      </c>
      <c r="V86" s="1">
        <f>VLOOKUP(A86,[2]Sheet1!$A:$B,2,0)</f>
        <v>1303694</v>
      </c>
      <c r="W86" s="6">
        <f t="shared" si="26"/>
        <v>152096</v>
      </c>
      <c r="X86" s="6">
        <f t="shared" si="27"/>
        <v>1151598</v>
      </c>
      <c r="Y86" s="5" t="e">
        <f t="shared" si="20"/>
        <v>#DIV/0!</v>
      </c>
      <c r="Z86" s="5">
        <f t="shared" si="21"/>
        <v>7.5715206185567014</v>
      </c>
      <c r="AA86" s="9">
        <v>-285600</v>
      </c>
      <c r="AB86" s="10">
        <v>-106400</v>
      </c>
      <c r="AD86">
        <v>1690</v>
      </c>
      <c r="AE86" s="1">
        <v>550</v>
      </c>
      <c r="AF86" s="6">
        <f t="shared" si="28"/>
        <v>1690</v>
      </c>
      <c r="AG86" s="6">
        <f t="shared" si="29"/>
        <v>-1140</v>
      </c>
      <c r="AH86" s="5" t="e">
        <f t="shared" si="30"/>
        <v>#DIV/0!</v>
      </c>
      <c r="AI86" s="5">
        <f t="shared" si="31"/>
        <v>-0.67455621301775148</v>
      </c>
    </row>
    <row r="87" spans="1:35" x14ac:dyDescent="0.25">
      <c r="A87" s="2" t="s">
        <v>88</v>
      </c>
      <c r="B87" t="s">
        <v>215</v>
      </c>
      <c r="C87" t="e">
        <f>VLOOKUP(A87,[1]FO!$A$2:$A$69,2,0)</f>
        <v>#N/A</v>
      </c>
      <c r="D87" s="4" t="e">
        <v>#N/A</v>
      </c>
      <c r="E87" s="10" t="e">
        <v>#N/A</v>
      </c>
      <c r="G87" t="s">
        <v>232</v>
      </c>
      <c r="H87" s="1">
        <v>1205</v>
      </c>
      <c r="I87" s="6" t="e">
        <f t="shared" si="22"/>
        <v>#VALUE!</v>
      </c>
      <c r="J87" s="6" t="e">
        <f t="shared" si="23"/>
        <v>#VALUE!</v>
      </c>
      <c r="K87" s="5" t="e">
        <f t="shared" si="16"/>
        <v>#VALUE!</v>
      </c>
      <c r="L87" s="5" t="e">
        <f t="shared" si="17"/>
        <v>#VALUE!</v>
      </c>
      <c r="M87" s="3"/>
      <c r="N87" s="3" t="e">
        <v>#N/A</v>
      </c>
      <c r="O87" s="11" t="e">
        <v>#N/A</v>
      </c>
      <c r="P87" s="7" t="e">
        <f t="shared" si="24"/>
        <v>#N/A</v>
      </c>
      <c r="Q87" s="7" t="e">
        <f t="shared" si="25"/>
        <v>#N/A</v>
      </c>
      <c r="R87" s="5" t="e">
        <f t="shared" si="18"/>
        <v>#N/A</v>
      </c>
      <c r="S87" s="5" t="e">
        <f t="shared" si="19"/>
        <v>#N/A</v>
      </c>
      <c r="U87">
        <v>302246</v>
      </c>
      <c r="V87" s="1">
        <f>VLOOKUP(A87,[2]Sheet1!$A:$B,2,0)</f>
        <v>516141</v>
      </c>
      <c r="W87" s="6">
        <f t="shared" si="26"/>
        <v>302246</v>
      </c>
      <c r="X87" s="6">
        <f t="shared" si="27"/>
        <v>213895</v>
      </c>
      <c r="Y87" s="5" t="e">
        <f t="shared" si="20"/>
        <v>#DIV/0!</v>
      </c>
      <c r="Z87" s="5">
        <f t="shared" si="21"/>
        <v>0.7076851306551617</v>
      </c>
      <c r="AA87" s="9" t="e">
        <v>#N/A</v>
      </c>
      <c r="AB87" s="10" t="e">
        <v>#N/A</v>
      </c>
      <c r="AD87" t="e">
        <v>#N/A</v>
      </c>
      <c r="AE87" s="1" t="e">
        <v>#N/A</v>
      </c>
      <c r="AF87" s="6" t="e">
        <f t="shared" si="28"/>
        <v>#N/A</v>
      </c>
      <c r="AG87" s="6" t="e">
        <f t="shared" si="29"/>
        <v>#N/A</v>
      </c>
      <c r="AH87" s="5" t="e">
        <f t="shared" si="30"/>
        <v>#N/A</v>
      </c>
      <c r="AI87" s="5" t="e">
        <f t="shared" si="31"/>
        <v>#N/A</v>
      </c>
    </row>
    <row r="88" spans="1:35" x14ac:dyDescent="0.25">
      <c r="A88" s="2" t="s">
        <v>89</v>
      </c>
      <c r="B88" t="s">
        <v>215</v>
      </c>
      <c r="C88" t="e">
        <f>VLOOKUP(A88,[1]FO!$A$2:$A$69,2,0)</f>
        <v>#N/A</v>
      </c>
      <c r="D88" s="4" t="e">
        <v>#N/A</v>
      </c>
      <c r="E88" s="10" t="e">
        <v>#N/A</v>
      </c>
      <c r="G88" t="s">
        <v>232</v>
      </c>
      <c r="H88" s="1">
        <v>20193</v>
      </c>
      <c r="I88" s="6" t="e">
        <f t="shared" si="22"/>
        <v>#VALUE!</v>
      </c>
      <c r="J88" s="6" t="e">
        <f t="shared" si="23"/>
        <v>#VALUE!</v>
      </c>
      <c r="K88" s="5" t="e">
        <f t="shared" si="16"/>
        <v>#VALUE!</v>
      </c>
      <c r="L88" s="5" t="e">
        <f t="shared" si="17"/>
        <v>#VALUE!</v>
      </c>
      <c r="M88" s="3"/>
      <c r="N88" s="3" t="e">
        <v>#N/A</v>
      </c>
      <c r="O88" s="11" t="e">
        <v>#N/A</v>
      </c>
      <c r="P88" s="7" t="e">
        <f t="shared" si="24"/>
        <v>#N/A</v>
      </c>
      <c r="Q88" s="7" t="e">
        <f t="shared" si="25"/>
        <v>#N/A</v>
      </c>
      <c r="R88" s="5" t="e">
        <f t="shared" si="18"/>
        <v>#N/A</v>
      </c>
      <c r="S88" s="5" t="e">
        <f t="shared" si="19"/>
        <v>#N/A</v>
      </c>
      <c r="U88">
        <v>171298</v>
      </c>
      <c r="V88" s="1">
        <f>VLOOKUP(A88,[2]Sheet1!$A:$B,2,0)</f>
        <v>926553</v>
      </c>
      <c r="W88" s="6">
        <f t="shared" si="26"/>
        <v>171298</v>
      </c>
      <c r="X88" s="6">
        <f t="shared" si="27"/>
        <v>755255</v>
      </c>
      <c r="Y88" s="5" t="e">
        <f t="shared" si="20"/>
        <v>#DIV/0!</v>
      </c>
      <c r="Z88" s="5">
        <f t="shared" si="21"/>
        <v>4.4090123644175643</v>
      </c>
      <c r="AA88" s="9" t="e">
        <v>#N/A</v>
      </c>
      <c r="AB88" s="10" t="e">
        <v>#N/A</v>
      </c>
      <c r="AD88" t="e">
        <v>#N/A</v>
      </c>
      <c r="AE88" s="1" t="e">
        <v>#N/A</v>
      </c>
      <c r="AF88" s="6" t="e">
        <f t="shared" si="28"/>
        <v>#N/A</v>
      </c>
      <c r="AG88" s="6" t="e">
        <f t="shared" si="29"/>
        <v>#N/A</v>
      </c>
      <c r="AH88" s="5" t="e">
        <f t="shared" si="30"/>
        <v>#N/A</v>
      </c>
      <c r="AI88" s="5" t="e">
        <f t="shared" si="31"/>
        <v>#N/A</v>
      </c>
    </row>
    <row r="89" spans="1:35" x14ac:dyDescent="0.25">
      <c r="A89" s="2" t="s">
        <v>90</v>
      </c>
      <c r="B89" t="s">
        <v>215</v>
      </c>
      <c r="C89" t="e">
        <f>VLOOKUP(A89,[1]FO!$A$2:$A$69,2,0)</f>
        <v>#REF!</v>
      </c>
      <c r="D89" s="4">
        <v>2.8</v>
      </c>
      <c r="E89" s="10">
        <v>8.35</v>
      </c>
      <c r="G89" t="s">
        <v>232</v>
      </c>
      <c r="H89" s="1">
        <v>152454</v>
      </c>
      <c r="I89" s="6" t="e">
        <f t="shared" si="22"/>
        <v>#VALUE!</v>
      </c>
      <c r="J89" s="6" t="e">
        <f t="shared" si="23"/>
        <v>#VALUE!</v>
      </c>
      <c r="K89" s="5" t="e">
        <f t="shared" si="16"/>
        <v>#VALUE!</v>
      </c>
      <c r="L89" s="5" t="e">
        <f t="shared" si="17"/>
        <v>#VALUE!</v>
      </c>
      <c r="M89" s="3"/>
      <c r="N89" s="3">
        <v>170.6</v>
      </c>
      <c r="O89" s="11">
        <v>184.44</v>
      </c>
      <c r="P89" s="7">
        <f t="shared" si="24"/>
        <v>170.6</v>
      </c>
      <c r="Q89" s="7">
        <f t="shared" si="25"/>
        <v>13.840000000000003</v>
      </c>
      <c r="R89" s="5" t="e">
        <f t="shared" si="18"/>
        <v>#DIV/0!</v>
      </c>
      <c r="S89" s="5">
        <f t="shared" si="19"/>
        <v>8.1125439624853482E-2</v>
      </c>
      <c r="U89">
        <v>3415826</v>
      </c>
      <c r="V89" s="1">
        <f>VLOOKUP(A89,[2]Sheet1!$A:$B,2,0)</f>
        <v>18444012</v>
      </c>
      <c r="W89" s="6">
        <f t="shared" si="26"/>
        <v>3415826</v>
      </c>
      <c r="X89" s="6">
        <f t="shared" si="27"/>
        <v>15028186</v>
      </c>
      <c r="Y89" s="5" t="e">
        <f t="shared" si="20"/>
        <v>#DIV/0!</v>
      </c>
      <c r="Z89" s="5">
        <f t="shared" si="21"/>
        <v>4.3995759737176305</v>
      </c>
      <c r="AA89" s="9">
        <v>-1617500</v>
      </c>
      <c r="AB89" s="10">
        <v>-1245000</v>
      </c>
      <c r="AD89">
        <v>3620</v>
      </c>
      <c r="AE89" s="1">
        <v>2100</v>
      </c>
      <c r="AF89" s="6">
        <f t="shared" si="28"/>
        <v>3620</v>
      </c>
      <c r="AG89" s="6">
        <f t="shared" si="29"/>
        <v>-1520</v>
      </c>
      <c r="AH89" s="5" t="e">
        <f t="shared" si="30"/>
        <v>#DIV/0!</v>
      </c>
      <c r="AI89" s="5">
        <f t="shared" si="31"/>
        <v>-0.41988950276243092</v>
      </c>
    </row>
    <row r="90" spans="1:35" x14ac:dyDescent="0.25">
      <c r="A90" s="2" t="s">
        <v>91</v>
      </c>
      <c r="B90" t="s">
        <v>215</v>
      </c>
      <c r="C90" t="e">
        <f>VLOOKUP(A90,[1]FO!$A$2:$A$69,2,0)</f>
        <v>#REF!</v>
      </c>
      <c r="D90" s="4">
        <v>-42.85</v>
      </c>
      <c r="E90" s="10">
        <v>-9.6</v>
      </c>
      <c r="G90" t="s">
        <v>232</v>
      </c>
      <c r="H90" s="1">
        <v>64057</v>
      </c>
      <c r="I90" s="6" t="e">
        <f t="shared" si="22"/>
        <v>#VALUE!</v>
      </c>
      <c r="J90" s="6" t="e">
        <f t="shared" si="23"/>
        <v>#VALUE!</v>
      </c>
      <c r="K90" s="5" t="e">
        <f t="shared" si="16"/>
        <v>#VALUE!</v>
      </c>
      <c r="L90" s="5" t="e">
        <f t="shared" si="17"/>
        <v>#VALUE!</v>
      </c>
      <c r="M90" s="3"/>
      <c r="N90" s="3">
        <v>1485.2</v>
      </c>
      <c r="O90" s="11">
        <v>16.739999999999998</v>
      </c>
      <c r="P90" s="7">
        <f t="shared" si="24"/>
        <v>1485.2</v>
      </c>
      <c r="Q90" s="7">
        <f t="shared" si="25"/>
        <v>-1468.46</v>
      </c>
      <c r="R90" s="5" t="e">
        <f t="shared" si="18"/>
        <v>#DIV/0!</v>
      </c>
      <c r="S90" s="5">
        <f t="shared" si="19"/>
        <v>-0.98872879073525455</v>
      </c>
      <c r="U90">
        <v>318694</v>
      </c>
      <c r="V90" s="1">
        <f>VLOOKUP(A90,[2]Sheet1!$A:$B,2,0)</f>
        <v>1673537</v>
      </c>
      <c r="W90" s="6">
        <f t="shared" si="26"/>
        <v>318694</v>
      </c>
      <c r="X90" s="6">
        <f t="shared" si="27"/>
        <v>1354843</v>
      </c>
      <c r="Y90" s="5" t="e">
        <f t="shared" si="20"/>
        <v>#DIV/0!</v>
      </c>
      <c r="Z90" s="5">
        <f t="shared" si="21"/>
        <v>4.2512347267284607</v>
      </c>
      <c r="AA90" s="9">
        <v>-482300</v>
      </c>
      <c r="AB90" s="10">
        <v>-168000</v>
      </c>
      <c r="AD90">
        <v>2299</v>
      </c>
      <c r="AE90" s="1">
        <v>891</v>
      </c>
      <c r="AF90" s="6">
        <f t="shared" si="28"/>
        <v>2299</v>
      </c>
      <c r="AG90" s="6">
        <f t="shared" si="29"/>
        <v>-1408</v>
      </c>
      <c r="AH90" s="5" t="e">
        <f t="shared" si="30"/>
        <v>#DIV/0!</v>
      </c>
      <c r="AI90" s="5">
        <f t="shared" si="31"/>
        <v>-0.61244019138755978</v>
      </c>
    </row>
    <row r="91" spans="1:35" x14ac:dyDescent="0.25">
      <c r="A91" s="2" t="s">
        <v>92</v>
      </c>
      <c r="B91" t="s">
        <v>215</v>
      </c>
      <c r="C91" t="e">
        <f>VLOOKUP(A91,[1]FO!$A$2:$A$69,2,0)</f>
        <v>#REF!</v>
      </c>
      <c r="D91" s="4">
        <v>9.65</v>
      </c>
      <c r="E91" s="10">
        <v>7.9</v>
      </c>
      <c r="G91" t="s">
        <v>232</v>
      </c>
      <c r="H91" s="1">
        <v>23358</v>
      </c>
      <c r="I91" s="6" t="e">
        <f t="shared" si="22"/>
        <v>#VALUE!</v>
      </c>
      <c r="J91" s="6" t="e">
        <f t="shared" si="23"/>
        <v>#VALUE!</v>
      </c>
      <c r="K91" s="5" t="e">
        <f t="shared" si="16"/>
        <v>#VALUE!</v>
      </c>
      <c r="L91" s="5" t="e">
        <f t="shared" si="17"/>
        <v>#VALUE!</v>
      </c>
      <c r="M91" s="3"/>
      <c r="N91" s="3">
        <v>381.9</v>
      </c>
      <c r="O91" s="11">
        <v>14.64</v>
      </c>
      <c r="P91" s="7">
        <f t="shared" si="24"/>
        <v>381.9</v>
      </c>
      <c r="Q91" s="7">
        <f t="shared" si="25"/>
        <v>-367.26</v>
      </c>
      <c r="R91" s="5" t="e">
        <f t="shared" si="18"/>
        <v>#DIV/0!</v>
      </c>
      <c r="S91" s="5">
        <f t="shared" si="19"/>
        <v>-0.96166535742340931</v>
      </c>
      <c r="U91">
        <v>676719</v>
      </c>
      <c r="V91" s="1">
        <f>VLOOKUP(A91,[2]Sheet1!$A:$B,2,0)</f>
        <v>1463582</v>
      </c>
      <c r="W91" s="6">
        <f t="shared" si="26"/>
        <v>676719</v>
      </c>
      <c r="X91" s="6">
        <f t="shared" si="27"/>
        <v>786863</v>
      </c>
      <c r="Y91" s="5" t="e">
        <f t="shared" si="20"/>
        <v>#DIV/0!</v>
      </c>
      <c r="Z91" s="5">
        <f t="shared" si="21"/>
        <v>1.1627617962551664</v>
      </c>
      <c r="AA91" s="9">
        <v>-1020639</v>
      </c>
      <c r="AB91" s="10">
        <v>-654897</v>
      </c>
      <c r="AD91">
        <v>1051</v>
      </c>
      <c r="AE91" s="1">
        <v>686</v>
      </c>
      <c r="AF91" s="6">
        <f t="shared" si="28"/>
        <v>1051</v>
      </c>
      <c r="AG91" s="6">
        <f t="shared" si="29"/>
        <v>-365</v>
      </c>
      <c r="AH91" s="5" t="e">
        <f t="shared" si="30"/>
        <v>#DIV/0!</v>
      </c>
      <c r="AI91" s="5">
        <f t="shared" si="31"/>
        <v>-0.34728829686013318</v>
      </c>
    </row>
    <row r="92" spans="1:35" x14ac:dyDescent="0.25">
      <c r="A92" s="2" t="s">
        <v>93</v>
      </c>
      <c r="B92" t="s">
        <v>215</v>
      </c>
      <c r="C92" t="e">
        <f>VLOOKUP(A92,[1]FO!$A$2:$A$69,2,0)</f>
        <v>#REF!</v>
      </c>
      <c r="D92" s="4">
        <v>-9.85</v>
      </c>
      <c r="E92" s="10">
        <v>-2.9</v>
      </c>
      <c r="G92" t="s">
        <v>232</v>
      </c>
      <c r="H92" s="1">
        <v>38906</v>
      </c>
      <c r="I92" s="6" t="e">
        <f t="shared" si="22"/>
        <v>#VALUE!</v>
      </c>
      <c r="J92" s="6" t="e">
        <f t="shared" si="23"/>
        <v>#VALUE!</v>
      </c>
      <c r="K92" s="5" t="e">
        <f t="shared" si="16"/>
        <v>#VALUE!</v>
      </c>
      <c r="L92" s="5" t="e">
        <f t="shared" si="17"/>
        <v>#VALUE!</v>
      </c>
      <c r="M92" s="3"/>
      <c r="N92" s="3">
        <v>382</v>
      </c>
      <c r="O92" s="11">
        <v>17.97</v>
      </c>
      <c r="P92" s="7">
        <f t="shared" si="24"/>
        <v>382</v>
      </c>
      <c r="Q92" s="7">
        <f t="shared" si="25"/>
        <v>-364.03</v>
      </c>
      <c r="R92" s="5" t="e">
        <f t="shared" si="18"/>
        <v>#DIV/0!</v>
      </c>
      <c r="S92" s="5">
        <f t="shared" si="19"/>
        <v>-0.95295811518324602</v>
      </c>
      <c r="U92">
        <v>862493</v>
      </c>
      <c r="V92" s="1">
        <f>VLOOKUP(A92,[2]Sheet1!$A:$B,2,0)</f>
        <v>1797179</v>
      </c>
      <c r="W92" s="6">
        <f t="shared" si="26"/>
        <v>862493</v>
      </c>
      <c r="X92" s="6">
        <f t="shared" si="27"/>
        <v>934686</v>
      </c>
      <c r="Y92" s="5" t="e">
        <f t="shared" si="20"/>
        <v>#DIV/0!</v>
      </c>
      <c r="Z92" s="5">
        <f t="shared" si="21"/>
        <v>1.0837027083118356</v>
      </c>
      <c r="AA92" s="9">
        <v>-186300</v>
      </c>
      <c r="AB92" s="10">
        <v>-297900</v>
      </c>
      <c r="AD92">
        <v>1439</v>
      </c>
      <c r="AE92" s="1">
        <v>622</v>
      </c>
      <c r="AF92" s="6">
        <f t="shared" si="28"/>
        <v>1439</v>
      </c>
      <c r="AG92" s="6">
        <f t="shared" si="29"/>
        <v>-817</v>
      </c>
      <c r="AH92" s="5" t="e">
        <f t="shared" si="30"/>
        <v>#DIV/0!</v>
      </c>
      <c r="AI92" s="5">
        <f t="shared" si="31"/>
        <v>-0.56775538568450312</v>
      </c>
    </row>
    <row r="93" spans="1:35" x14ac:dyDescent="0.25">
      <c r="A93" s="2" t="s">
        <v>94</v>
      </c>
      <c r="B93" t="s">
        <v>215</v>
      </c>
      <c r="C93" t="e">
        <f>VLOOKUP(A93,[1]FO!$A$2:$A$69,2,0)</f>
        <v>#REF!</v>
      </c>
      <c r="D93" s="4">
        <v>-10</v>
      </c>
      <c r="E93" s="10">
        <v>11.75</v>
      </c>
      <c r="G93" t="s">
        <v>232</v>
      </c>
      <c r="H93" s="1">
        <v>95765</v>
      </c>
      <c r="I93" s="6" t="e">
        <f t="shared" si="22"/>
        <v>#VALUE!</v>
      </c>
      <c r="J93" s="6" t="e">
        <f t="shared" si="23"/>
        <v>#VALUE!</v>
      </c>
      <c r="K93" s="5" t="e">
        <f t="shared" si="16"/>
        <v>#VALUE!</v>
      </c>
      <c r="L93" s="5" t="e">
        <f t="shared" si="17"/>
        <v>#VALUE!</v>
      </c>
      <c r="M93" s="3"/>
      <c r="N93" s="3">
        <v>495.35</v>
      </c>
      <c r="O93" s="11">
        <v>42.95</v>
      </c>
      <c r="P93" s="7">
        <f t="shared" si="24"/>
        <v>495.35</v>
      </c>
      <c r="Q93" s="7">
        <f t="shared" si="25"/>
        <v>-452.40000000000003</v>
      </c>
      <c r="R93" s="5" t="e">
        <f t="shared" si="18"/>
        <v>#DIV/0!</v>
      </c>
      <c r="S93" s="5">
        <f t="shared" si="19"/>
        <v>-0.91329363076612502</v>
      </c>
      <c r="U93">
        <v>800921</v>
      </c>
      <c r="V93" s="1">
        <f>VLOOKUP(A93,[2]Sheet1!$A:$B,2,0)</f>
        <v>4295419</v>
      </c>
      <c r="W93" s="6">
        <f t="shared" si="26"/>
        <v>800921</v>
      </c>
      <c r="X93" s="6">
        <f t="shared" si="27"/>
        <v>3494498</v>
      </c>
      <c r="Y93" s="5" t="e">
        <f t="shared" si="20"/>
        <v>#DIV/0!</v>
      </c>
      <c r="Z93" s="5">
        <f t="shared" si="21"/>
        <v>4.3630994817216679</v>
      </c>
      <c r="AA93" s="9">
        <v>-2643750</v>
      </c>
      <c r="AB93" s="10">
        <v>-1823750</v>
      </c>
      <c r="AD93">
        <v>3231</v>
      </c>
      <c r="AE93" s="1">
        <v>3404</v>
      </c>
      <c r="AF93" s="6">
        <f t="shared" si="28"/>
        <v>3231</v>
      </c>
      <c r="AG93" s="6">
        <f t="shared" si="29"/>
        <v>173</v>
      </c>
      <c r="AH93" s="5" t="e">
        <f t="shared" si="30"/>
        <v>#DIV/0!</v>
      </c>
      <c r="AI93" s="5">
        <f t="shared" si="31"/>
        <v>5.3543794490869698E-2</v>
      </c>
    </row>
    <row r="94" spans="1:35" x14ac:dyDescent="0.25">
      <c r="A94" s="2" t="s">
        <v>95</v>
      </c>
      <c r="B94" t="s">
        <v>215</v>
      </c>
      <c r="C94" t="e">
        <f>VLOOKUP(A94,[1]FO!$A$2:$A$69,2,0)</f>
        <v>#N/A</v>
      </c>
      <c r="D94" s="4" t="e">
        <v>#N/A</v>
      </c>
      <c r="E94" s="10" t="e">
        <v>#N/A</v>
      </c>
      <c r="G94" t="e">
        <v>#N/A</v>
      </c>
      <c r="H94" s="1" t="e">
        <v>#N/A</v>
      </c>
      <c r="I94" s="6" t="e">
        <f t="shared" si="22"/>
        <v>#N/A</v>
      </c>
      <c r="J94" s="6" t="e">
        <f t="shared" si="23"/>
        <v>#N/A</v>
      </c>
      <c r="K94" s="5" t="e">
        <f t="shared" si="16"/>
        <v>#N/A</v>
      </c>
      <c r="L94" s="5" t="e">
        <f t="shared" si="17"/>
        <v>#N/A</v>
      </c>
      <c r="M94" s="3"/>
      <c r="N94" s="3" t="e">
        <v>#N/A</v>
      </c>
      <c r="O94" s="11" t="e">
        <v>#N/A</v>
      </c>
      <c r="P94" s="7" t="e">
        <f t="shared" si="24"/>
        <v>#N/A</v>
      </c>
      <c r="Q94" s="7" t="e">
        <f t="shared" si="25"/>
        <v>#N/A</v>
      </c>
      <c r="R94" s="5" t="e">
        <f t="shared" si="18"/>
        <v>#N/A</v>
      </c>
      <c r="S94" s="5" t="e">
        <f t="shared" si="19"/>
        <v>#N/A</v>
      </c>
      <c r="U94" t="e">
        <v>#N/A</v>
      </c>
      <c r="V94" s="1" t="e">
        <f>VLOOKUP(A94,[2]Sheet1!$A:$B,2,0)</f>
        <v>#N/A</v>
      </c>
      <c r="W94" s="6" t="e">
        <f t="shared" si="26"/>
        <v>#N/A</v>
      </c>
      <c r="X94" s="6" t="e">
        <f t="shared" si="27"/>
        <v>#N/A</v>
      </c>
      <c r="Y94" s="5" t="e">
        <f t="shared" si="20"/>
        <v>#N/A</v>
      </c>
      <c r="Z94" s="5" t="e">
        <f t="shared" si="21"/>
        <v>#N/A</v>
      </c>
      <c r="AA94" s="9" t="e">
        <v>#N/A</v>
      </c>
      <c r="AB94" s="10" t="e">
        <v>#N/A</v>
      </c>
      <c r="AD94" t="e">
        <v>#N/A</v>
      </c>
      <c r="AE94" s="1" t="e">
        <v>#N/A</v>
      </c>
      <c r="AF94" s="6" t="e">
        <f t="shared" si="28"/>
        <v>#N/A</v>
      </c>
      <c r="AG94" s="6" t="e">
        <f t="shared" si="29"/>
        <v>#N/A</v>
      </c>
      <c r="AH94" s="5" t="e">
        <f t="shared" si="30"/>
        <v>#N/A</v>
      </c>
      <c r="AI94" s="5" t="e">
        <f t="shared" si="31"/>
        <v>#N/A</v>
      </c>
    </row>
    <row r="95" spans="1:35" x14ac:dyDescent="0.25">
      <c r="A95" s="2" t="s">
        <v>96</v>
      </c>
      <c r="B95" t="s">
        <v>215</v>
      </c>
      <c r="C95" t="e">
        <f>VLOOKUP(A95,[1]FO!$A$2:$A$69,2,0)</f>
        <v>#N/A</v>
      </c>
      <c r="D95" s="4" t="e">
        <v>#N/A</v>
      </c>
      <c r="E95" s="10" t="e">
        <v>#N/A</v>
      </c>
      <c r="G95" t="s">
        <v>232</v>
      </c>
      <c r="H95" s="1">
        <v>53752</v>
      </c>
      <c r="I95" s="6" t="e">
        <f t="shared" si="22"/>
        <v>#VALUE!</v>
      </c>
      <c r="J95" s="6" t="e">
        <f t="shared" si="23"/>
        <v>#VALUE!</v>
      </c>
      <c r="K95" s="5" t="e">
        <f t="shared" si="16"/>
        <v>#VALUE!</v>
      </c>
      <c r="L95" s="5" t="e">
        <f t="shared" si="17"/>
        <v>#VALUE!</v>
      </c>
      <c r="M95" s="3"/>
      <c r="N95" s="3" t="e">
        <v>#N/A</v>
      </c>
      <c r="O95" s="11" t="e">
        <v>#N/A</v>
      </c>
      <c r="P95" s="7" t="e">
        <f t="shared" si="24"/>
        <v>#N/A</v>
      </c>
      <c r="Q95" s="7" t="e">
        <f t="shared" si="25"/>
        <v>#N/A</v>
      </c>
      <c r="R95" s="5" t="e">
        <f t="shared" si="18"/>
        <v>#N/A</v>
      </c>
      <c r="S95" s="5" t="e">
        <f t="shared" si="19"/>
        <v>#N/A</v>
      </c>
      <c r="U95">
        <v>981302</v>
      </c>
      <c r="V95" s="1">
        <f>VLOOKUP(A95,[2]Sheet1!$A:$B,2,0)</f>
        <v>6456615</v>
      </c>
      <c r="W95" s="6">
        <f t="shared" si="26"/>
        <v>981302</v>
      </c>
      <c r="X95" s="6">
        <f t="shared" si="27"/>
        <v>5475313</v>
      </c>
      <c r="Y95" s="5" t="e">
        <f t="shared" si="20"/>
        <v>#DIV/0!</v>
      </c>
      <c r="Z95" s="5">
        <f t="shared" si="21"/>
        <v>5.5796411298458581</v>
      </c>
      <c r="AA95" s="9" t="e">
        <v>#N/A</v>
      </c>
      <c r="AB95" s="10" t="e">
        <v>#N/A</v>
      </c>
      <c r="AD95" t="e">
        <v>#N/A</v>
      </c>
      <c r="AE95" s="1" t="e">
        <v>#N/A</v>
      </c>
      <c r="AF95" s="6" t="e">
        <f t="shared" si="28"/>
        <v>#N/A</v>
      </c>
      <c r="AG95" s="6" t="e">
        <f t="shared" si="29"/>
        <v>#N/A</v>
      </c>
      <c r="AH95" s="5" t="e">
        <f t="shared" si="30"/>
        <v>#N/A</v>
      </c>
      <c r="AI95" s="5" t="e">
        <f t="shared" si="31"/>
        <v>#N/A</v>
      </c>
    </row>
    <row r="96" spans="1:35" x14ac:dyDescent="0.25">
      <c r="A96" s="2" t="s">
        <v>97</v>
      </c>
      <c r="B96" t="s">
        <v>215</v>
      </c>
      <c r="C96" t="e">
        <f>VLOOKUP(A96,[1]FO!$A$2:$A$69,2,0)</f>
        <v>#N/A</v>
      </c>
      <c r="D96" s="4" t="e">
        <v>#N/A</v>
      </c>
      <c r="E96" s="10" t="e">
        <v>#N/A</v>
      </c>
      <c r="G96" t="s">
        <v>232</v>
      </c>
      <c r="H96" s="1">
        <v>5268</v>
      </c>
      <c r="I96" s="6" t="e">
        <f t="shared" si="22"/>
        <v>#VALUE!</v>
      </c>
      <c r="J96" s="6" t="e">
        <f t="shared" si="23"/>
        <v>#VALUE!</v>
      </c>
      <c r="K96" s="5" t="e">
        <f t="shared" si="16"/>
        <v>#VALUE!</v>
      </c>
      <c r="L96" s="5" t="e">
        <f t="shared" si="17"/>
        <v>#VALUE!</v>
      </c>
      <c r="M96" s="3"/>
      <c r="N96" s="3" t="e">
        <v>#N/A</v>
      </c>
      <c r="O96" s="11" t="e">
        <v>#N/A</v>
      </c>
      <c r="P96" s="7" t="e">
        <f t="shared" si="24"/>
        <v>#N/A</v>
      </c>
      <c r="Q96" s="7" t="e">
        <f t="shared" si="25"/>
        <v>#N/A</v>
      </c>
      <c r="R96" s="5" t="e">
        <f t="shared" si="18"/>
        <v>#N/A</v>
      </c>
      <c r="S96" s="5" t="e">
        <f t="shared" si="19"/>
        <v>#N/A</v>
      </c>
      <c r="U96">
        <v>277355</v>
      </c>
      <c r="V96" s="1">
        <f>VLOOKUP(A96,[2]Sheet1!$A:$B,2,0)</f>
        <v>1821347</v>
      </c>
      <c r="W96" s="6">
        <f t="shared" si="26"/>
        <v>277355</v>
      </c>
      <c r="X96" s="6">
        <f t="shared" si="27"/>
        <v>1543992</v>
      </c>
      <c r="Y96" s="5" t="e">
        <f t="shared" si="20"/>
        <v>#DIV/0!</v>
      </c>
      <c r="Z96" s="5">
        <f t="shared" si="21"/>
        <v>5.5668439364713089</v>
      </c>
      <c r="AA96" s="9" t="e">
        <v>#N/A</v>
      </c>
      <c r="AB96" s="10" t="e">
        <v>#N/A</v>
      </c>
      <c r="AD96" t="e">
        <v>#N/A</v>
      </c>
      <c r="AE96" s="1" t="e">
        <v>#N/A</v>
      </c>
      <c r="AF96" s="6" t="e">
        <f t="shared" si="28"/>
        <v>#N/A</v>
      </c>
      <c r="AG96" s="6" t="e">
        <f t="shared" si="29"/>
        <v>#N/A</v>
      </c>
      <c r="AH96" s="5" t="e">
        <f t="shared" si="30"/>
        <v>#N/A</v>
      </c>
      <c r="AI96" s="5" t="e">
        <f t="shared" si="31"/>
        <v>#N/A</v>
      </c>
    </row>
    <row r="97" spans="1:35" x14ac:dyDescent="0.25">
      <c r="A97" s="2" t="s">
        <v>98</v>
      </c>
      <c r="B97" t="s">
        <v>215</v>
      </c>
      <c r="C97" t="e">
        <f>VLOOKUP(A97,[1]FO!$A$2:$A$69,2,0)</f>
        <v>#N/A</v>
      </c>
      <c r="D97" s="4" t="e">
        <v>#N/A</v>
      </c>
      <c r="E97" s="10" t="e">
        <v>#N/A</v>
      </c>
      <c r="G97" t="s">
        <v>232</v>
      </c>
      <c r="H97" s="1">
        <v>6013</v>
      </c>
      <c r="I97" s="6" t="e">
        <f t="shared" si="22"/>
        <v>#VALUE!</v>
      </c>
      <c r="J97" s="6" t="e">
        <f t="shared" si="23"/>
        <v>#VALUE!</v>
      </c>
      <c r="K97" s="5" t="e">
        <f t="shared" si="16"/>
        <v>#VALUE!</v>
      </c>
      <c r="L97" s="5" t="e">
        <f t="shared" si="17"/>
        <v>#VALUE!</v>
      </c>
      <c r="M97" s="3"/>
      <c r="N97" s="3" t="e">
        <v>#N/A</v>
      </c>
      <c r="O97" s="11" t="e">
        <v>#N/A</v>
      </c>
      <c r="P97" s="7" t="e">
        <f t="shared" si="24"/>
        <v>#N/A</v>
      </c>
      <c r="Q97" s="7" t="e">
        <f t="shared" si="25"/>
        <v>#N/A</v>
      </c>
      <c r="R97" s="5" t="e">
        <f t="shared" si="18"/>
        <v>#N/A</v>
      </c>
      <c r="S97" s="5" t="e">
        <f t="shared" si="19"/>
        <v>#N/A</v>
      </c>
      <c r="U97">
        <v>1231998</v>
      </c>
      <c r="V97" s="1">
        <f>VLOOKUP(A97,[2]Sheet1!$A:$B,2,0)</f>
        <v>5804213</v>
      </c>
      <c r="W97" s="6">
        <f t="shared" si="26"/>
        <v>1231998</v>
      </c>
      <c r="X97" s="6">
        <f t="shared" si="27"/>
        <v>4572215</v>
      </c>
      <c r="Y97" s="5" t="e">
        <f t="shared" si="20"/>
        <v>#DIV/0!</v>
      </c>
      <c r="Z97" s="5">
        <f t="shared" si="21"/>
        <v>3.7112194987329525</v>
      </c>
      <c r="AA97" s="9" t="e">
        <v>#N/A</v>
      </c>
      <c r="AB97" s="10" t="e">
        <v>#N/A</v>
      </c>
      <c r="AD97" t="e">
        <v>#N/A</v>
      </c>
      <c r="AE97" s="1" t="e">
        <v>#N/A</v>
      </c>
      <c r="AF97" s="6" t="e">
        <f t="shared" si="28"/>
        <v>#N/A</v>
      </c>
      <c r="AG97" s="6" t="e">
        <f t="shared" si="29"/>
        <v>#N/A</v>
      </c>
      <c r="AH97" s="5" t="e">
        <f t="shared" si="30"/>
        <v>#N/A</v>
      </c>
      <c r="AI97" s="5" t="e">
        <f t="shared" si="31"/>
        <v>#N/A</v>
      </c>
    </row>
    <row r="98" spans="1:35" x14ac:dyDescent="0.25">
      <c r="A98" s="2" t="s">
        <v>99</v>
      </c>
      <c r="B98" t="s">
        <v>215</v>
      </c>
      <c r="C98" t="e">
        <f>VLOOKUP(A98,[1]FO!$A$2:$A$69,2,0)</f>
        <v>#REF!</v>
      </c>
      <c r="D98" s="4">
        <v>6.4</v>
      </c>
      <c r="E98" s="10">
        <v>-36.85</v>
      </c>
      <c r="G98" t="s">
        <v>232</v>
      </c>
      <c r="H98" s="1">
        <v>103742</v>
      </c>
      <c r="I98" s="6" t="e">
        <f t="shared" si="22"/>
        <v>#VALUE!</v>
      </c>
      <c r="J98" s="6" t="e">
        <f t="shared" si="23"/>
        <v>#VALUE!</v>
      </c>
      <c r="K98" s="5" t="e">
        <f t="shared" si="16"/>
        <v>#VALUE!</v>
      </c>
      <c r="L98" s="5" t="e">
        <f t="shared" si="17"/>
        <v>#VALUE!</v>
      </c>
      <c r="M98" s="3"/>
      <c r="N98" s="3">
        <v>2372.6999999999998</v>
      </c>
      <c r="O98" s="11">
        <v>8.43</v>
      </c>
      <c r="P98" s="7">
        <f t="shared" si="24"/>
        <v>2372.6999999999998</v>
      </c>
      <c r="Q98" s="7">
        <f t="shared" si="25"/>
        <v>-2364.27</v>
      </c>
      <c r="R98" s="5" t="e">
        <f t="shared" si="18"/>
        <v>#DIV/0!</v>
      </c>
      <c r="S98" s="5">
        <f t="shared" si="19"/>
        <v>-0.99644708559868511</v>
      </c>
      <c r="U98">
        <v>196226</v>
      </c>
      <c r="V98" s="1">
        <f>VLOOKUP(A98,[2]Sheet1!$A:$B,2,0)</f>
        <v>843164</v>
      </c>
      <c r="W98" s="6">
        <f t="shared" si="26"/>
        <v>196226</v>
      </c>
      <c r="X98" s="6">
        <f t="shared" si="27"/>
        <v>646938</v>
      </c>
      <c r="Y98" s="5" t="e">
        <f t="shared" si="20"/>
        <v>#DIV/0!</v>
      </c>
      <c r="Z98" s="5">
        <f t="shared" si="21"/>
        <v>3.2969025511400121</v>
      </c>
      <c r="AA98" s="9">
        <v>-632000</v>
      </c>
      <c r="AB98" s="10">
        <v>-340800</v>
      </c>
      <c r="AD98">
        <v>4809</v>
      </c>
      <c r="AE98" s="1">
        <v>1721</v>
      </c>
      <c r="AF98" s="6">
        <f t="shared" si="28"/>
        <v>4809</v>
      </c>
      <c r="AG98" s="6">
        <f t="shared" si="29"/>
        <v>-3088</v>
      </c>
      <c r="AH98" s="5" t="e">
        <f t="shared" si="30"/>
        <v>#DIV/0!</v>
      </c>
      <c r="AI98" s="5">
        <f t="shared" si="31"/>
        <v>-0.64212934081929718</v>
      </c>
    </row>
    <row r="99" spans="1:35" x14ac:dyDescent="0.25">
      <c r="A99" s="2" t="s">
        <v>100</v>
      </c>
      <c r="B99" t="s">
        <v>215</v>
      </c>
      <c r="C99" t="e">
        <f>VLOOKUP(A99,[1]FO!$A$2:$A$69,2,0)</f>
        <v>#REF!</v>
      </c>
      <c r="D99" s="4">
        <v>3.4</v>
      </c>
      <c r="E99" s="10">
        <v>5.0999999999999996</v>
      </c>
      <c r="G99" t="s">
        <v>232</v>
      </c>
      <c r="H99" s="1">
        <v>62286</v>
      </c>
      <c r="I99" s="6" t="e">
        <f t="shared" si="22"/>
        <v>#VALUE!</v>
      </c>
      <c r="J99" s="6" t="e">
        <f t="shared" si="23"/>
        <v>#VALUE!</v>
      </c>
      <c r="K99" s="5" t="e">
        <f t="shared" si="16"/>
        <v>#VALUE!</v>
      </c>
      <c r="L99" s="5" t="e">
        <f t="shared" si="17"/>
        <v>#VALUE!</v>
      </c>
      <c r="M99" s="3"/>
      <c r="N99" s="3">
        <v>152.25</v>
      </c>
      <c r="O99" s="11">
        <v>128.19</v>
      </c>
      <c r="P99" s="7">
        <f t="shared" si="24"/>
        <v>152.25</v>
      </c>
      <c r="Q99" s="7">
        <f t="shared" si="25"/>
        <v>-24.060000000000002</v>
      </c>
      <c r="R99" s="5" t="e">
        <f t="shared" si="18"/>
        <v>#DIV/0!</v>
      </c>
      <c r="S99" s="5">
        <f t="shared" si="19"/>
        <v>-0.15802955665024632</v>
      </c>
      <c r="U99">
        <v>1802259</v>
      </c>
      <c r="V99" s="1">
        <f>VLOOKUP(A99,[2]Sheet1!$A:$B,2,0)</f>
        <v>12818946</v>
      </c>
      <c r="W99" s="6">
        <f t="shared" si="26"/>
        <v>1802259</v>
      </c>
      <c r="X99" s="6">
        <f t="shared" si="27"/>
        <v>11016687</v>
      </c>
      <c r="Y99" s="5" t="e">
        <f t="shared" si="20"/>
        <v>#DIV/0!</v>
      </c>
      <c r="Z99" s="5">
        <f t="shared" si="21"/>
        <v>6.1127102153464072</v>
      </c>
      <c r="AA99" s="9">
        <v>-7995900</v>
      </c>
      <c r="AB99" s="10">
        <v>-3894000</v>
      </c>
      <c r="AD99">
        <v>5822</v>
      </c>
      <c r="AE99" s="1">
        <v>3030</v>
      </c>
      <c r="AF99" s="6">
        <f t="shared" si="28"/>
        <v>5822</v>
      </c>
      <c r="AG99" s="6">
        <f t="shared" si="29"/>
        <v>-2792</v>
      </c>
      <c r="AH99" s="5" t="e">
        <f t="shared" si="30"/>
        <v>#DIV/0!</v>
      </c>
      <c r="AI99" s="5">
        <f t="shared" si="31"/>
        <v>-0.4795602885606321</v>
      </c>
    </row>
    <row r="100" spans="1:35" x14ac:dyDescent="0.25">
      <c r="A100" s="2" t="s">
        <v>101</v>
      </c>
      <c r="B100" t="s">
        <v>215</v>
      </c>
      <c r="C100" t="e">
        <f>VLOOKUP(A100,[1]FO!$A$2:$A$69,2,0)</f>
        <v>#N/A</v>
      </c>
      <c r="D100" s="4" t="e">
        <v>#N/A</v>
      </c>
      <c r="E100" s="10" t="e">
        <v>#N/A</v>
      </c>
      <c r="G100" t="s">
        <v>232</v>
      </c>
      <c r="H100" s="1">
        <v>16322</v>
      </c>
      <c r="I100" s="6" t="e">
        <f t="shared" si="22"/>
        <v>#VALUE!</v>
      </c>
      <c r="J100" s="6" t="e">
        <f t="shared" si="23"/>
        <v>#VALUE!</v>
      </c>
      <c r="K100" s="5" t="e">
        <f t="shared" si="16"/>
        <v>#VALUE!</v>
      </c>
      <c r="L100" s="5" t="e">
        <f t="shared" si="17"/>
        <v>#VALUE!</v>
      </c>
      <c r="M100" s="3"/>
      <c r="N100" s="3" t="e">
        <v>#N/A</v>
      </c>
      <c r="O100" s="11" t="e">
        <v>#N/A</v>
      </c>
      <c r="P100" s="7" t="e">
        <f t="shared" si="24"/>
        <v>#N/A</v>
      </c>
      <c r="Q100" s="7" t="e">
        <f t="shared" si="25"/>
        <v>#N/A</v>
      </c>
      <c r="R100" s="5" t="e">
        <f t="shared" si="18"/>
        <v>#N/A</v>
      </c>
      <c r="S100" s="5" t="e">
        <f t="shared" si="19"/>
        <v>#N/A</v>
      </c>
      <c r="U100">
        <v>598071</v>
      </c>
      <c r="V100" s="1">
        <f>VLOOKUP(A100,[2]Sheet1!$A:$B,2,0)</f>
        <v>2177482</v>
      </c>
      <c r="W100" s="6">
        <f t="shared" si="26"/>
        <v>598071</v>
      </c>
      <c r="X100" s="6">
        <f t="shared" si="27"/>
        <v>1579411</v>
      </c>
      <c r="Y100" s="5" t="e">
        <f t="shared" si="20"/>
        <v>#DIV/0!</v>
      </c>
      <c r="Z100" s="5">
        <f t="shared" si="21"/>
        <v>2.6408419736118285</v>
      </c>
      <c r="AA100" s="9" t="e">
        <v>#N/A</v>
      </c>
      <c r="AB100" s="10" t="e">
        <v>#N/A</v>
      </c>
      <c r="AD100" t="e">
        <v>#N/A</v>
      </c>
      <c r="AE100" s="1" t="e">
        <v>#N/A</v>
      </c>
      <c r="AF100" s="6" t="e">
        <f t="shared" si="28"/>
        <v>#N/A</v>
      </c>
      <c r="AG100" s="6" t="e">
        <f t="shared" si="29"/>
        <v>#N/A</v>
      </c>
      <c r="AH100" s="5" t="e">
        <f t="shared" si="30"/>
        <v>#N/A</v>
      </c>
      <c r="AI100" s="5" t="e">
        <f t="shared" si="31"/>
        <v>#N/A</v>
      </c>
    </row>
    <row r="101" spans="1:35" x14ac:dyDescent="0.25">
      <c r="A101" s="2" t="s">
        <v>102</v>
      </c>
      <c r="B101" t="s">
        <v>215</v>
      </c>
      <c r="C101" t="e">
        <f>VLOOKUP(A101,[1]FO!$A$2:$A$69,2,0)</f>
        <v>#REF!</v>
      </c>
      <c r="D101" s="4">
        <v>-1.05</v>
      </c>
      <c r="E101" s="10">
        <v>-0.7</v>
      </c>
      <c r="G101" t="s">
        <v>232</v>
      </c>
      <c r="H101" s="1">
        <v>42710</v>
      </c>
      <c r="I101" s="6" t="e">
        <f t="shared" si="22"/>
        <v>#VALUE!</v>
      </c>
      <c r="J101" s="6" t="e">
        <f t="shared" si="23"/>
        <v>#VALUE!</v>
      </c>
      <c r="K101" s="5" t="e">
        <f t="shared" si="16"/>
        <v>#VALUE!</v>
      </c>
      <c r="L101" s="5" t="e">
        <f t="shared" si="17"/>
        <v>#VALUE!</v>
      </c>
      <c r="M101" s="3"/>
      <c r="N101" s="3">
        <v>54.4</v>
      </c>
      <c r="O101" s="11">
        <v>156.52000000000001</v>
      </c>
      <c r="P101" s="7">
        <f t="shared" si="24"/>
        <v>54.4</v>
      </c>
      <c r="Q101" s="7">
        <f t="shared" si="25"/>
        <v>102.12</v>
      </c>
      <c r="R101" s="5" t="e">
        <f t="shared" si="18"/>
        <v>#DIV/0!</v>
      </c>
      <c r="S101" s="5">
        <f t="shared" si="19"/>
        <v>1.8772058823529414</v>
      </c>
      <c r="U101">
        <v>3545547</v>
      </c>
      <c r="V101" s="1">
        <f>VLOOKUP(A101,[2]Sheet1!$A:$B,2,0)</f>
        <v>15652066</v>
      </c>
      <c r="W101" s="6">
        <f t="shared" si="26"/>
        <v>3545547</v>
      </c>
      <c r="X101" s="6">
        <f t="shared" si="27"/>
        <v>12106519</v>
      </c>
      <c r="Y101" s="5" t="e">
        <f t="shared" si="20"/>
        <v>#DIV/0!</v>
      </c>
      <c r="Z101" s="5">
        <f t="shared" si="21"/>
        <v>3.414570163644707</v>
      </c>
      <c r="AA101" s="9">
        <v>83300</v>
      </c>
      <c r="AB101" s="10">
        <v>-2391200</v>
      </c>
      <c r="AD101">
        <v>2791</v>
      </c>
      <c r="AE101" s="1">
        <v>1511</v>
      </c>
      <c r="AF101" s="6">
        <f t="shared" si="28"/>
        <v>2791</v>
      </c>
      <c r="AG101" s="6">
        <f t="shared" si="29"/>
        <v>-1280</v>
      </c>
      <c r="AH101" s="5" t="e">
        <f t="shared" si="30"/>
        <v>#DIV/0!</v>
      </c>
      <c r="AI101" s="5">
        <f t="shared" si="31"/>
        <v>-0.45861698316015764</v>
      </c>
    </row>
    <row r="102" spans="1:35" x14ac:dyDescent="0.25">
      <c r="A102" s="2" t="s">
        <v>103</v>
      </c>
      <c r="B102" t="s">
        <v>215</v>
      </c>
      <c r="C102" t="e">
        <f>VLOOKUP(A102,[1]FO!$A$2:$A$69,2,0)</f>
        <v>#REF!</v>
      </c>
      <c r="D102" s="4">
        <v>5.35</v>
      </c>
      <c r="E102" s="10">
        <v>-4.7</v>
      </c>
      <c r="G102" t="s">
        <v>232</v>
      </c>
      <c r="H102" s="1">
        <v>78518</v>
      </c>
      <c r="I102" s="6" t="e">
        <f t="shared" si="22"/>
        <v>#VALUE!</v>
      </c>
      <c r="J102" s="6" t="e">
        <f t="shared" si="23"/>
        <v>#VALUE!</v>
      </c>
      <c r="K102" s="5" t="e">
        <f t="shared" si="16"/>
        <v>#VALUE!</v>
      </c>
      <c r="L102" s="5" t="e">
        <f t="shared" si="17"/>
        <v>#VALUE!</v>
      </c>
      <c r="M102" s="3"/>
      <c r="N102" s="3">
        <v>738.75</v>
      </c>
      <c r="O102" s="11">
        <v>32.200000000000003</v>
      </c>
      <c r="P102" s="7">
        <f t="shared" si="24"/>
        <v>738.75</v>
      </c>
      <c r="Q102" s="7">
        <f t="shared" si="25"/>
        <v>-706.55</v>
      </c>
      <c r="R102" s="5" t="e">
        <f t="shared" si="18"/>
        <v>#DIV/0!</v>
      </c>
      <c r="S102" s="5">
        <f t="shared" si="19"/>
        <v>-0.95641285956006761</v>
      </c>
      <c r="U102">
        <v>280123</v>
      </c>
      <c r="V102" s="1">
        <f>VLOOKUP(A102,[2]Sheet1!$A:$B,2,0)</f>
        <v>3220473</v>
      </c>
      <c r="W102" s="6">
        <f t="shared" si="26"/>
        <v>280123</v>
      </c>
      <c r="X102" s="6">
        <f t="shared" si="27"/>
        <v>2940350</v>
      </c>
      <c r="Y102" s="5" t="e">
        <f t="shared" si="20"/>
        <v>#DIV/0!</v>
      </c>
      <c r="Z102" s="5">
        <f t="shared" si="21"/>
        <v>10.496638976449631</v>
      </c>
      <c r="AA102" s="9">
        <v>-317900</v>
      </c>
      <c r="AB102" s="10">
        <v>-482900</v>
      </c>
      <c r="AD102">
        <v>9081</v>
      </c>
      <c r="AE102" s="1">
        <v>2582</v>
      </c>
      <c r="AF102" s="6">
        <f t="shared" si="28"/>
        <v>9081</v>
      </c>
      <c r="AG102" s="6">
        <f t="shared" si="29"/>
        <v>-6499</v>
      </c>
      <c r="AH102" s="5" t="e">
        <f t="shared" si="30"/>
        <v>#DIV/0!</v>
      </c>
      <c r="AI102" s="5">
        <f t="shared" si="31"/>
        <v>-0.71567008038762248</v>
      </c>
    </row>
    <row r="103" spans="1:35" x14ac:dyDescent="0.25">
      <c r="A103" s="2" t="s">
        <v>104</v>
      </c>
      <c r="B103" t="s">
        <v>215</v>
      </c>
      <c r="C103" t="e">
        <f>VLOOKUP(A103,[1]FO!$A$2:$A$69,2,0)</f>
        <v>#REF!</v>
      </c>
      <c r="D103" s="4">
        <v>8.1999999999999993</v>
      </c>
      <c r="E103" s="10">
        <v>2.2999999999999998</v>
      </c>
      <c r="G103" t="s">
        <v>232</v>
      </c>
      <c r="H103" s="1">
        <v>52526</v>
      </c>
      <c r="I103" s="6" t="e">
        <f t="shared" si="22"/>
        <v>#VALUE!</v>
      </c>
      <c r="J103" s="6" t="e">
        <f t="shared" si="23"/>
        <v>#VALUE!</v>
      </c>
      <c r="K103" s="5" t="e">
        <f t="shared" si="16"/>
        <v>#VALUE!</v>
      </c>
      <c r="L103" s="5" t="e">
        <f t="shared" si="17"/>
        <v>#VALUE!</v>
      </c>
      <c r="M103" s="3"/>
      <c r="N103" s="3">
        <v>163.35</v>
      </c>
      <c r="O103" s="11">
        <v>52.3</v>
      </c>
      <c r="P103" s="7">
        <f t="shared" si="24"/>
        <v>163.35</v>
      </c>
      <c r="Q103" s="7">
        <f t="shared" si="25"/>
        <v>-111.05</v>
      </c>
      <c r="R103" s="5" t="e">
        <f t="shared" si="18"/>
        <v>#DIV/0!</v>
      </c>
      <c r="S103" s="5">
        <f t="shared" si="19"/>
        <v>-0.67982858891949804</v>
      </c>
      <c r="U103">
        <v>1037519</v>
      </c>
      <c r="V103" s="1">
        <f>VLOOKUP(A103,[2]Sheet1!$A:$B,2,0)</f>
        <v>5229761</v>
      </c>
      <c r="W103" s="6">
        <f t="shared" si="26"/>
        <v>1037519</v>
      </c>
      <c r="X103" s="6">
        <f t="shared" si="27"/>
        <v>4192242</v>
      </c>
      <c r="Y103" s="5" t="e">
        <f t="shared" si="20"/>
        <v>#DIV/0!</v>
      </c>
      <c r="Z103" s="5">
        <f t="shared" si="21"/>
        <v>4.0406411834385683</v>
      </c>
      <c r="AA103" s="9">
        <v>-1389100</v>
      </c>
      <c r="AB103" s="10">
        <v>-1284700</v>
      </c>
      <c r="AD103">
        <v>1035</v>
      </c>
      <c r="AE103" s="1">
        <v>1684</v>
      </c>
      <c r="AF103" s="6">
        <f t="shared" si="28"/>
        <v>1035</v>
      </c>
      <c r="AG103" s="6">
        <f t="shared" si="29"/>
        <v>649</v>
      </c>
      <c r="AH103" s="5" t="e">
        <f t="shared" si="30"/>
        <v>#DIV/0!</v>
      </c>
      <c r="AI103" s="5">
        <f t="shared" si="31"/>
        <v>0.62705314009661839</v>
      </c>
    </row>
    <row r="104" spans="1:35" x14ac:dyDescent="0.25">
      <c r="A104" s="2" t="s">
        <v>105</v>
      </c>
      <c r="B104" t="s">
        <v>215</v>
      </c>
      <c r="C104" t="e">
        <f>VLOOKUP(A104,[1]FO!$A$2:$A$69,2,0)</f>
        <v>#REF!</v>
      </c>
      <c r="D104" s="4">
        <v>-0.4</v>
      </c>
      <c r="E104" s="10">
        <v>2.15</v>
      </c>
      <c r="G104" t="s">
        <v>232</v>
      </c>
      <c r="H104" s="1">
        <v>146767</v>
      </c>
      <c r="I104" s="6" t="e">
        <f t="shared" si="22"/>
        <v>#VALUE!</v>
      </c>
      <c r="J104" s="6" t="e">
        <f t="shared" si="23"/>
        <v>#VALUE!</v>
      </c>
      <c r="K104" s="5" t="e">
        <f t="shared" si="16"/>
        <v>#VALUE!</v>
      </c>
      <c r="L104" s="5" t="e">
        <f t="shared" si="17"/>
        <v>#VALUE!</v>
      </c>
      <c r="M104" s="3"/>
      <c r="N104" s="3">
        <v>50.75</v>
      </c>
      <c r="O104" s="11">
        <v>602.87</v>
      </c>
      <c r="P104" s="7">
        <f t="shared" si="24"/>
        <v>50.75</v>
      </c>
      <c r="Q104" s="7">
        <f t="shared" si="25"/>
        <v>552.12</v>
      </c>
      <c r="R104" s="5" t="e">
        <f t="shared" si="18"/>
        <v>#DIV/0!</v>
      </c>
      <c r="S104" s="5">
        <f t="shared" si="19"/>
        <v>10.879211822660098</v>
      </c>
      <c r="U104">
        <v>8822473</v>
      </c>
      <c r="V104" s="1">
        <f>VLOOKUP(A104,[2]Sheet1!$A:$B,2,0)</f>
        <v>60287266</v>
      </c>
      <c r="W104" s="6">
        <f t="shared" si="26"/>
        <v>8822473</v>
      </c>
      <c r="X104" s="6">
        <f t="shared" si="27"/>
        <v>51464793</v>
      </c>
      <c r="Y104" s="5" t="e">
        <f t="shared" si="20"/>
        <v>#DIV/0!</v>
      </c>
      <c r="Z104" s="5">
        <f t="shared" si="21"/>
        <v>5.8333749505382446</v>
      </c>
      <c r="AA104" s="9">
        <v>-5677000</v>
      </c>
      <c r="AB104" s="10">
        <v>-10500000</v>
      </c>
      <c r="AD104">
        <v>4773</v>
      </c>
      <c r="AE104" s="1">
        <v>4996</v>
      </c>
      <c r="AF104" s="6">
        <f t="shared" si="28"/>
        <v>4773</v>
      </c>
      <c r="AG104" s="6">
        <f t="shared" si="29"/>
        <v>223</v>
      </c>
      <c r="AH104" s="5" t="e">
        <f t="shared" si="30"/>
        <v>#DIV/0!</v>
      </c>
      <c r="AI104" s="5">
        <f t="shared" si="31"/>
        <v>4.6721139744395561E-2</v>
      </c>
    </row>
    <row r="105" spans="1:35" x14ac:dyDescent="0.25">
      <c r="A105" s="2" t="s">
        <v>106</v>
      </c>
      <c r="B105" t="s">
        <v>215</v>
      </c>
      <c r="C105" t="e">
        <f>VLOOKUP(A105,[1]FO!$A$2:$A$69,2,0)</f>
        <v>#N/A</v>
      </c>
      <c r="D105" s="4" t="e">
        <v>#N/A</v>
      </c>
      <c r="E105" s="10" t="e">
        <v>#N/A</v>
      </c>
      <c r="G105" t="s">
        <v>232</v>
      </c>
      <c r="H105" s="1">
        <v>16382</v>
      </c>
      <c r="I105" s="6" t="e">
        <f t="shared" si="22"/>
        <v>#VALUE!</v>
      </c>
      <c r="J105" s="6" t="e">
        <f t="shared" si="23"/>
        <v>#VALUE!</v>
      </c>
      <c r="K105" s="5" t="e">
        <f t="shared" si="16"/>
        <v>#VALUE!</v>
      </c>
      <c r="L105" s="5" t="e">
        <f t="shared" si="17"/>
        <v>#VALUE!</v>
      </c>
      <c r="M105" s="3"/>
      <c r="N105" s="3" t="e">
        <v>#N/A</v>
      </c>
      <c r="O105" s="11" t="e">
        <v>#N/A</v>
      </c>
      <c r="P105" s="7" t="e">
        <f t="shared" si="24"/>
        <v>#N/A</v>
      </c>
      <c r="Q105" s="7" t="e">
        <f t="shared" si="25"/>
        <v>#N/A</v>
      </c>
      <c r="R105" s="5" t="e">
        <f t="shared" si="18"/>
        <v>#N/A</v>
      </c>
      <c r="S105" s="5" t="e">
        <f t="shared" si="19"/>
        <v>#N/A</v>
      </c>
      <c r="U105">
        <v>391478</v>
      </c>
      <c r="V105" s="1">
        <f>VLOOKUP(A105,[2]Sheet1!$A:$B,2,0)</f>
        <v>1984965</v>
      </c>
      <c r="W105" s="6">
        <f t="shared" si="26"/>
        <v>391478</v>
      </c>
      <c r="X105" s="6">
        <f t="shared" si="27"/>
        <v>1593487</v>
      </c>
      <c r="Y105" s="5" t="e">
        <f t="shared" si="20"/>
        <v>#DIV/0!</v>
      </c>
      <c r="Z105" s="5">
        <f t="shared" si="21"/>
        <v>4.0704381855429936</v>
      </c>
      <c r="AA105" s="9" t="e">
        <v>#N/A</v>
      </c>
      <c r="AB105" s="10" t="e">
        <v>#N/A</v>
      </c>
      <c r="AD105" t="e">
        <v>#N/A</v>
      </c>
      <c r="AE105" s="1" t="e">
        <v>#N/A</v>
      </c>
      <c r="AF105" s="6" t="e">
        <f t="shared" si="28"/>
        <v>#N/A</v>
      </c>
      <c r="AG105" s="6" t="e">
        <f t="shared" si="29"/>
        <v>#N/A</v>
      </c>
      <c r="AH105" s="5" t="e">
        <f t="shared" si="30"/>
        <v>#N/A</v>
      </c>
      <c r="AI105" s="5" t="e">
        <f t="shared" si="31"/>
        <v>#N/A</v>
      </c>
    </row>
    <row r="106" spans="1:35" x14ac:dyDescent="0.25">
      <c r="A106" s="2" t="s">
        <v>107</v>
      </c>
      <c r="B106" t="s">
        <v>215</v>
      </c>
      <c r="C106" t="e">
        <f>VLOOKUP(A106,[1]FO!$A$2:$A$69,2,0)</f>
        <v>#REF!</v>
      </c>
      <c r="D106" s="4">
        <v>1.9</v>
      </c>
      <c r="E106" s="10">
        <v>7.8</v>
      </c>
      <c r="G106" t="s">
        <v>232</v>
      </c>
      <c r="H106" s="1">
        <v>160824</v>
      </c>
      <c r="I106" s="6" t="e">
        <f t="shared" si="22"/>
        <v>#VALUE!</v>
      </c>
      <c r="J106" s="6" t="e">
        <f t="shared" si="23"/>
        <v>#VALUE!</v>
      </c>
      <c r="K106" s="5" t="e">
        <f t="shared" si="16"/>
        <v>#VALUE!</v>
      </c>
      <c r="L106" s="5" t="e">
        <f t="shared" si="17"/>
        <v>#VALUE!</v>
      </c>
      <c r="M106" s="3"/>
      <c r="N106" s="3">
        <v>359</v>
      </c>
      <c r="O106" s="11">
        <v>111.2</v>
      </c>
      <c r="P106" s="7">
        <f t="shared" si="24"/>
        <v>359</v>
      </c>
      <c r="Q106" s="7">
        <f t="shared" si="25"/>
        <v>-247.8</v>
      </c>
      <c r="R106" s="5" t="e">
        <f t="shared" si="18"/>
        <v>#DIV/0!</v>
      </c>
      <c r="S106" s="5">
        <f t="shared" si="19"/>
        <v>-0.69025069637883008</v>
      </c>
      <c r="U106">
        <v>1337924</v>
      </c>
      <c r="V106" s="1">
        <f>VLOOKUP(A106,[2]Sheet1!$A:$B,2,0)</f>
        <v>11120364</v>
      </c>
      <c r="W106" s="6">
        <f t="shared" si="26"/>
        <v>1337924</v>
      </c>
      <c r="X106" s="6">
        <f t="shared" si="27"/>
        <v>9782440</v>
      </c>
      <c r="Y106" s="5" t="e">
        <f t="shared" si="20"/>
        <v>#DIV/0!</v>
      </c>
      <c r="Z106" s="5">
        <f t="shared" si="21"/>
        <v>7.3116559685004532</v>
      </c>
      <c r="AA106" s="9">
        <v>-910000</v>
      </c>
      <c r="AB106" s="10">
        <v>-676200</v>
      </c>
      <c r="AD106">
        <v>3505</v>
      </c>
      <c r="AE106" s="1">
        <v>2615</v>
      </c>
      <c r="AF106" s="6">
        <f t="shared" si="28"/>
        <v>3505</v>
      </c>
      <c r="AG106" s="6">
        <f t="shared" si="29"/>
        <v>-890</v>
      </c>
      <c r="AH106" s="5" t="e">
        <f t="shared" si="30"/>
        <v>#DIV/0!</v>
      </c>
      <c r="AI106" s="5">
        <f t="shared" si="31"/>
        <v>-0.25392296718972895</v>
      </c>
    </row>
    <row r="107" spans="1:35" x14ac:dyDescent="0.25">
      <c r="A107" s="2" t="s">
        <v>108</v>
      </c>
      <c r="B107" t="s">
        <v>215</v>
      </c>
      <c r="C107" t="e">
        <f>VLOOKUP(A107,[1]FO!$A$2:$A$69,2,0)</f>
        <v>#REF!</v>
      </c>
      <c r="D107" s="4">
        <v>-0.05</v>
      </c>
      <c r="E107" s="10">
        <v>0.1</v>
      </c>
      <c r="G107" t="s">
        <v>232</v>
      </c>
      <c r="H107" s="1">
        <v>19601</v>
      </c>
      <c r="I107" s="6" t="e">
        <f t="shared" si="22"/>
        <v>#VALUE!</v>
      </c>
      <c r="J107" s="6" t="e">
        <f t="shared" si="23"/>
        <v>#VALUE!</v>
      </c>
      <c r="K107" s="5" t="e">
        <f t="shared" si="16"/>
        <v>#VALUE!</v>
      </c>
      <c r="L107" s="5" t="e">
        <f t="shared" si="17"/>
        <v>#VALUE!</v>
      </c>
      <c r="M107" s="3"/>
      <c r="N107" s="3">
        <v>17.600000000000001</v>
      </c>
      <c r="O107" s="11">
        <v>110.99</v>
      </c>
      <c r="P107" s="7">
        <f t="shared" si="24"/>
        <v>17.600000000000001</v>
      </c>
      <c r="Q107" s="7">
        <f t="shared" si="25"/>
        <v>93.389999999999986</v>
      </c>
      <c r="R107" s="5" t="e">
        <f t="shared" si="18"/>
        <v>#DIV/0!</v>
      </c>
      <c r="S107" s="5">
        <f t="shared" si="19"/>
        <v>5.3062499999999986</v>
      </c>
      <c r="U107">
        <v>978611</v>
      </c>
      <c r="V107" s="1">
        <f>VLOOKUP(A107,[2]Sheet1!$A:$B,2,0)</f>
        <v>11099466</v>
      </c>
      <c r="W107" s="6">
        <f t="shared" si="26"/>
        <v>978611</v>
      </c>
      <c r="X107" s="6">
        <f t="shared" si="27"/>
        <v>10120855</v>
      </c>
      <c r="Y107" s="5" t="e">
        <f t="shared" si="20"/>
        <v>#DIV/0!</v>
      </c>
      <c r="Z107" s="5">
        <f t="shared" si="21"/>
        <v>10.342061350219852</v>
      </c>
      <c r="AA107" s="9">
        <v>-17595000</v>
      </c>
      <c r="AB107" s="10">
        <v>-18405000</v>
      </c>
      <c r="AD107">
        <v>756</v>
      </c>
      <c r="AE107" s="1">
        <v>715</v>
      </c>
      <c r="AF107" s="6">
        <f t="shared" si="28"/>
        <v>756</v>
      </c>
      <c r="AG107" s="6">
        <f t="shared" si="29"/>
        <v>-41</v>
      </c>
      <c r="AH107" s="5" t="e">
        <f t="shared" si="30"/>
        <v>#DIV/0!</v>
      </c>
      <c r="AI107" s="5">
        <f t="shared" si="31"/>
        <v>-5.423280423280423E-2</v>
      </c>
    </row>
    <row r="108" spans="1:35" x14ac:dyDescent="0.25">
      <c r="A108" s="2" t="s">
        <v>109</v>
      </c>
      <c r="B108" t="s">
        <v>215</v>
      </c>
      <c r="C108" t="e">
        <f>VLOOKUP(A108,[1]FO!$A$2:$A$69,2,0)</f>
        <v>#N/A</v>
      </c>
      <c r="D108" s="4" t="e">
        <v>#N/A</v>
      </c>
      <c r="E108" s="10" t="e">
        <v>#N/A</v>
      </c>
      <c r="G108" t="s">
        <v>232</v>
      </c>
      <c r="H108" s="1">
        <v>9625</v>
      </c>
      <c r="I108" s="6" t="e">
        <f t="shared" si="22"/>
        <v>#VALUE!</v>
      </c>
      <c r="J108" s="6" t="e">
        <f t="shared" si="23"/>
        <v>#VALUE!</v>
      </c>
      <c r="K108" s="5" t="e">
        <f t="shared" si="16"/>
        <v>#VALUE!</v>
      </c>
      <c r="L108" s="5" t="e">
        <f t="shared" si="17"/>
        <v>#VALUE!</v>
      </c>
      <c r="M108" s="3"/>
      <c r="N108" s="3" t="e">
        <v>#N/A</v>
      </c>
      <c r="O108" s="11" t="e">
        <v>#N/A</v>
      </c>
      <c r="P108" s="7" t="e">
        <f t="shared" si="24"/>
        <v>#N/A</v>
      </c>
      <c r="Q108" s="7" t="e">
        <f t="shared" si="25"/>
        <v>#N/A</v>
      </c>
      <c r="R108" s="5" t="e">
        <f t="shared" si="18"/>
        <v>#N/A</v>
      </c>
      <c r="S108" s="5" t="e">
        <f t="shared" si="19"/>
        <v>#N/A</v>
      </c>
      <c r="U108">
        <v>29770</v>
      </c>
      <c r="V108" s="1">
        <f>VLOOKUP(A108,[2]Sheet1!$A:$B,2,0)</f>
        <v>107146</v>
      </c>
      <c r="W108" s="6">
        <f t="shared" si="26"/>
        <v>29770</v>
      </c>
      <c r="X108" s="6">
        <f t="shared" si="27"/>
        <v>77376</v>
      </c>
      <c r="Y108" s="5" t="e">
        <f t="shared" si="20"/>
        <v>#DIV/0!</v>
      </c>
      <c r="Z108" s="5">
        <f t="shared" si="21"/>
        <v>2.5991266375545852</v>
      </c>
      <c r="AA108" s="9" t="e">
        <v>#N/A</v>
      </c>
      <c r="AB108" s="10" t="e">
        <v>#N/A</v>
      </c>
      <c r="AD108" t="e">
        <v>#N/A</v>
      </c>
      <c r="AE108" s="1" t="e">
        <v>#N/A</v>
      </c>
      <c r="AF108" s="6" t="e">
        <f t="shared" si="28"/>
        <v>#N/A</v>
      </c>
      <c r="AG108" s="6" t="e">
        <f t="shared" si="29"/>
        <v>#N/A</v>
      </c>
      <c r="AH108" s="5" t="e">
        <f t="shared" si="30"/>
        <v>#N/A</v>
      </c>
      <c r="AI108" s="5" t="e">
        <f t="shared" si="31"/>
        <v>#N/A</v>
      </c>
    </row>
    <row r="109" spans="1:35" x14ac:dyDescent="0.25">
      <c r="A109" s="2" t="s">
        <v>110</v>
      </c>
      <c r="B109" t="s">
        <v>215</v>
      </c>
      <c r="C109" t="e">
        <f>VLOOKUP(A109,[1]FO!$A$2:$A$69,2,0)</f>
        <v>#REF!</v>
      </c>
      <c r="D109" s="4">
        <v>2.1</v>
      </c>
      <c r="E109" s="10">
        <v>6.55</v>
      </c>
      <c r="G109" t="s">
        <v>232</v>
      </c>
      <c r="H109" s="1">
        <v>51072</v>
      </c>
      <c r="I109" s="6" t="e">
        <f t="shared" si="22"/>
        <v>#VALUE!</v>
      </c>
      <c r="J109" s="6" t="e">
        <f t="shared" si="23"/>
        <v>#VALUE!</v>
      </c>
      <c r="K109" s="5" t="e">
        <f t="shared" si="16"/>
        <v>#VALUE!</v>
      </c>
      <c r="L109" s="5" t="e">
        <f t="shared" si="17"/>
        <v>#VALUE!</v>
      </c>
      <c r="M109" s="3"/>
      <c r="N109" s="3">
        <v>546.9</v>
      </c>
      <c r="O109" s="11">
        <v>27.92</v>
      </c>
      <c r="P109" s="7">
        <f t="shared" si="24"/>
        <v>546.9</v>
      </c>
      <c r="Q109" s="7">
        <f t="shared" si="25"/>
        <v>-518.98</v>
      </c>
      <c r="R109" s="5" t="e">
        <f t="shared" si="18"/>
        <v>#DIV/0!</v>
      </c>
      <c r="S109" s="5">
        <f t="shared" si="19"/>
        <v>-0.94894861949168041</v>
      </c>
      <c r="U109">
        <v>868273</v>
      </c>
      <c r="V109" s="1">
        <f>VLOOKUP(A109,[2]Sheet1!$A:$B,2,0)</f>
        <v>2792195</v>
      </c>
      <c r="W109" s="6">
        <f t="shared" si="26"/>
        <v>868273</v>
      </c>
      <c r="X109" s="6">
        <f t="shared" si="27"/>
        <v>1923922</v>
      </c>
      <c r="Y109" s="5" t="e">
        <f t="shared" si="20"/>
        <v>#DIV/0!</v>
      </c>
      <c r="Z109" s="5">
        <f t="shared" si="21"/>
        <v>2.2158030941881184</v>
      </c>
      <c r="AA109" s="9">
        <v>-1209600</v>
      </c>
      <c r="AB109" s="10">
        <v>-2372800</v>
      </c>
      <c r="AD109">
        <v>2277</v>
      </c>
      <c r="AE109" s="1">
        <v>3661</v>
      </c>
      <c r="AF109" s="6">
        <f t="shared" si="28"/>
        <v>2277</v>
      </c>
      <c r="AG109" s="6">
        <f t="shared" si="29"/>
        <v>1384</v>
      </c>
      <c r="AH109" s="5" t="e">
        <f t="shared" si="30"/>
        <v>#DIV/0!</v>
      </c>
      <c r="AI109" s="5">
        <f t="shared" si="31"/>
        <v>0.60781730346947738</v>
      </c>
    </row>
    <row r="110" spans="1:35" x14ac:dyDescent="0.25">
      <c r="A110" s="2" t="s">
        <v>111</v>
      </c>
      <c r="B110" t="s">
        <v>215</v>
      </c>
      <c r="C110" t="e">
        <f>VLOOKUP(A110,[1]FO!$A$2:$A$69,2,0)</f>
        <v>#N/A</v>
      </c>
      <c r="D110" s="4" t="e">
        <v>#N/A</v>
      </c>
      <c r="E110" s="10" t="e">
        <v>#N/A</v>
      </c>
      <c r="G110" t="s">
        <v>232</v>
      </c>
      <c r="H110" s="1">
        <v>19744</v>
      </c>
      <c r="I110" s="6" t="e">
        <f t="shared" si="22"/>
        <v>#VALUE!</v>
      </c>
      <c r="J110" s="6" t="e">
        <f t="shared" si="23"/>
        <v>#VALUE!</v>
      </c>
      <c r="K110" s="5" t="e">
        <f t="shared" si="16"/>
        <v>#VALUE!</v>
      </c>
      <c r="L110" s="5" t="e">
        <f t="shared" si="17"/>
        <v>#VALUE!</v>
      </c>
      <c r="M110" s="3"/>
      <c r="N110" s="3" t="e">
        <v>#N/A</v>
      </c>
      <c r="O110" s="11" t="e">
        <v>#N/A</v>
      </c>
      <c r="P110" s="7" t="e">
        <f t="shared" si="24"/>
        <v>#N/A</v>
      </c>
      <c r="Q110" s="7" t="e">
        <f t="shared" si="25"/>
        <v>#N/A</v>
      </c>
      <c r="R110" s="5" t="e">
        <f t="shared" si="18"/>
        <v>#N/A</v>
      </c>
      <c r="S110" s="5" t="e">
        <f t="shared" si="19"/>
        <v>#N/A</v>
      </c>
      <c r="U110">
        <v>167149</v>
      </c>
      <c r="V110" s="1">
        <f>VLOOKUP(A110,[2]Sheet1!$A:$B,2,0)</f>
        <v>620559</v>
      </c>
      <c r="W110" s="6">
        <f t="shared" si="26"/>
        <v>167149</v>
      </c>
      <c r="X110" s="6">
        <f t="shared" si="27"/>
        <v>453410</v>
      </c>
      <c r="Y110" s="5" t="e">
        <f t="shared" si="20"/>
        <v>#DIV/0!</v>
      </c>
      <c r="Z110" s="5">
        <f t="shared" si="21"/>
        <v>2.7126097075064761</v>
      </c>
      <c r="AA110" s="9" t="e">
        <v>#N/A</v>
      </c>
      <c r="AB110" s="10" t="e">
        <v>#N/A</v>
      </c>
      <c r="AD110" t="e">
        <v>#N/A</v>
      </c>
      <c r="AE110" s="1" t="e">
        <v>#N/A</v>
      </c>
      <c r="AF110" s="6" t="e">
        <f t="shared" si="28"/>
        <v>#N/A</v>
      </c>
      <c r="AG110" s="6" t="e">
        <f t="shared" si="29"/>
        <v>#N/A</v>
      </c>
      <c r="AH110" s="5" t="e">
        <f t="shared" si="30"/>
        <v>#N/A</v>
      </c>
      <c r="AI110" s="5" t="e">
        <f t="shared" si="31"/>
        <v>#N/A</v>
      </c>
    </row>
    <row r="111" spans="1:35" x14ac:dyDescent="0.25">
      <c r="A111" s="2" t="s">
        <v>112</v>
      </c>
      <c r="B111" t="s">
        <v>215</v>
      </c>
      <c r="C111" t="e">
        <f>VLOOKUP(A111,[1]FO!$A$2:$A$69,2,0)</f>
        <v>#N/A</v>
      </c>
      <c r="D111" s="4" t="e">
        <v>#N/A</v>
      </c>
      <c r="E111" s="10" t="e">
        <v>#N/A</v>
      </c>
      <c r="G111" t="s">
        <v>232</v>
      </c>
      <c r="H111" s="1">
        <v>18288</v>
      </c>
      <c r="I111" s="6" t="e">
        <f t="shared" si="22"/>
        <v>#VALUE!</v>
      </c>
      <c r="J111" s="6" t="e">
        <f t="shared" si="23"/>
        <v>#VALUE!</v>
      </c>
      <c r="K111" s="5" t="e">
        <f t="shared" si="16"/>
        <v>#VALUE!</v>
      </c>
      <c r="L111" s="5" t="e">
        <f t="shared" si="17"/>
        <v>#VALUE!</v>
      </c>
      <c r="M111" s="3"/>
      <c r="N111" s="3" t="e">
        <v>#N/A</v>
      </c>
      <c r="O111" s="11" t="e">
        <v>#N/A</v>
      </c>
      <c r="P111" s="7" t="e">
        <f t="shared" si="24"/>
        <v>#N/A</v>
      </c>
      <c r="Q111" s="7" t="e">
        <f t="shared" si="25"/>
        <v>#N/A</v>
      </c>
      <c r="R111" s="5" t="e">
        <f t="shared" si="18"/>
        <v>#N/A</v>
      </c>
      <c r="S111" s="5" t="e">
        <f t="shared" si="19"/>
        <v>#N/A</v>
      </c>
      <c r="U111">
        <v>535187</v>
      </c>
      <c r="V111" s="1">
        <f>VLOOKUP(A111,[2]Sheet1!$A:$B,2,0)</f>
        <v>1485830</v>
      </c>
      <c r="W111" s="6">
        <f t="shared" si="26"/>
        <v>535187</v>
      </c>
      <c r="X111" s="6">
        <f t="shared" si="27"/>
        <v>950643</v>
      </c>
      <c r="Y111" s="5" t="e">
        <f t="shared" si="20"/>
        <v>#DIV/0!</v>
      </c>
      <c r="Z111" s="5">
        <f t="shared" si="21"/>
        <v>1.7762819350993204</v>
      </c>
      <c r="AA111" s="9" t="e">
        <v>#N/A</v>
      </c>
      <c r="AB111" s="10" t="e">
        <v>#N/A</v>
      </c>
      <c r="AD111" t="e">
        <v>#N/A</v>
      </c>
      <c r="AE111" s="1" t="e">
        <v>#N/A</v>
      </c>
      <c r="AF111" s="6" t="e">
        <f t="shared" si="28"/>
        <v>#N/A</v>
      </c>
      <c r="AG111" s="6" t="e">
        <f t="shared" si="29"/>
        <v>#N/A</v>
      </c>
      <c r="AH111" s="5" t="e">
        <f t="shared" si="30"/>
        <v>#N/A</v>
      </c>
      <c r="AI111" s="5" t="e">
        <f t="shared" si="31"/>
        <v>#N/A</v>
      </c>
    </row>
    <row r="112" spans="1:35" x14ac:dyDescent="0.25">
      <c r="A112" s="2" t="s">
        <v>113</v>
      </c>
      <c r="B112" t="s">
        <v>215</v>
      </c>
      <c r="C112" t="e">
        <f>VLOOKUP(A112,[1]FO!$A$2:$A$69,2,0)</f>
        <v>#REF!</v>
      </c>
      <c r="D112" s="4">
        <v>2.1</v>
      </c>
      <c r="E112" s="10">
        <v>6</v>
      </c>
      <c r="G112" t="s">
        <v>232</v>
      </c>
      <c r="H112" s="1">
        <v>107773</v>
      </c>
      <c r="I112" s="6" t="e">
        <f t="shared" si="22"/>
        <v>#VALUE!</v>
      </c>
      <c r="J112" s="6" t="e">
        <f t="shared" si="23"/>
        <v>#VALUE!</v>
      </c>
      <c r="K112" s="5" t="e">
        <f t="shared" si="16"/>
        <v>#VALUE!</v>
      </c>
      <c r="L112" s="5" t="e">
        <f t="shared" si="17"/>
        <v>#VALUE!</v>
      </c>
      <c r="M112" s="3"/>
      <c r="N112" s="3">
        <v>515</v>
      </c>
      <c r="O112" s="11">
        <v>65.36</v>
      </c>
      <c r="P112" s="7">
        <f t="shared" si="24"/>
        <v>515</v>
      </c>
      <c r="Q112" s="7">
        <f t="shared" si="25"/>
        <v>-449.64</v>
      </c>
      <c r="R112" s="5" t="e">
        <f t="shared" si="18"/>
        <v>#DIV/0!</v>
      </c>
      <c r="S112" s="5">
        <f t="shared" si="19"/>
        <v>-0.87308737864077668</v>
      </c>
      <c r="U112">
        <v>474646</v>
      </c>
      <c r="V112" s="1">
        <f>VLOOKUP(A112,[2]Sheet1!$A:$B,2,0)</f>
        <v>6535679</v>
      </c>
      <c r="W112" s="6">
        <f t="shared" si="26"/>
        <v>474646</v>
      </c>
      <c r="X112" s="6">
        <f t="shared" si="27"/>
        <v>6061033</v>
      </c>
      <c r="Y112" s="5" t="e">
        <f t="shared" si="20"/>
        <v>#DIV/0!</v>
      </c>
      <c r="Z112" s="5">
        <f t="shared" si="21"/>
        <v>12.769586175802598</v>
      </c>
      <c r="AA112" s="9">
        <v>-1548000</v>
      </c>
      <c r="AB112" s="10">
        <v>-1152000</v>
      </c>
      <c r="AD112">
        <v>3801</v>
      </c>
      <c r="AE112" s="1">
        <v>4003</v>
      </c>
      <c r="AF112" s="6">
        <f t="shared" si="28"/>
        <v>3801</v>
      </c>
      <c r="AG112" s="6">
        <f t="shared" si="29"/>
        <v>202</v>
      </c>
      <c r="AH112" s="5" t="e">
        <f t="shared" si="30"/>
        <v>#DIV/0!</v>
      </c>
      <c r="AI112" s="5">
        <f t="shared" si="31"/>
        <v>5.3143909497500655E-2</v>
      </c>
    </row>
    <row r="113" spans="1:35" x14ac:dyDescent="0.25">
      <c r="A113" s="2" t="s">
        <v>114</v>
      </c>
      <c r="B113" t="s">
        <v>215</v>
      </c>
      <c r="C113" t="e">
        <f>VLOOKUP(A113,[1]FO!$A$2:$A$69,2,0)</f>
        <v>#N/A</v>
      </c>
      <c r="D113" s="4" t="e">
        <v>#N/A</v>
      </c>
      <c r="E113" s="10" t="e">
        <v>#N/A</v>
      </c>
      <c r="G113" t="s">
        <v>232</v>
      </c>
      <c r="H113" s="1">
        <v>2909</v>
      </c>
      <c r="I113" s="6" t="e">
        <f t="shared" si="22"/>
        <v>#VALUE!</v>
      </c>
      <c r="J113" s="6" t="e">
        <f t="shared" si="23"/>
        <v>#VALUE!</v>
      </c>
      <c r="K113" s="5" t="e">
        <f t="shared" si="16"/>
        <v>#VALUE!</v>
      </c>
      <c r="L113" s="5" t="e">
        <f t="shared" si="17"/>
        <v>#VALUE!</v>
      </c>
      <c r="M113" s="3"/>
      <c r="N113" s="3" t="e">
        <v>#N/A</v>
      </c>
      <c r="O113" s="11" t="e">
        <v>#N/A</v>
      </c>
      <c r="P113" s="7" t="e">
        <f t="shared" si="24"/>
        <v>#N/A</v>
      </c>
      <c r="Q113" s="7" t="e">
        <f t="shared" si="25"/>
        <v>#N/A</v>
      </c>
      <c r="R113" s="5" t="e">
        <f t="shared" si="18"/>
        <v>#N/A</v>
      </c>
      <c r="S113" s="5" t="e">
        <f t="shared" si="19"/>
        <v>#N/A</v>
      </c>
      <c r="U113">
        <v>207380</v>
      </c>
      <c r="V113" s="1">
        <f>VLOOKUP(A113,[2]Sheet1!$A:$B,2,0)</f>
        <v>444322</v>
      </c>
      <c r="W113" s="6">
        <f t="shared" si="26"/>
        <v>207380</v>
      </c>
      <c r="X113" s="6">
        <f t="shared" si="27"/>
        <v>236942</v>
      </c>
      <c r="Y113" s="5" t="e">
        <f t="shared" si="20"/>
        <v>#DIV/0!</v>
      </c>
      <c r="Z113" s="5">
        <f t="shared" si="21"/>
        <v>1.1425499083807502</v>
      </c>
      <c r="AA113" s="9" t="e">
        <v>#N/A</v>
      </c>
      <c r="AB113" s="10" t="e">
        <v>#N/A</v>
      </c>
      <c r="AD113" t="e">
        <v>#N/A</v>
      </c>
      <c r="AE113" s="1" t="e">
        <v>#N/A</v>
      </c>
      <c r="AF113" s="6" t="e">
        <f t="shared" si="28"/>
        <v>#N/A</v>
      </c>
      <c r="AG113" s="6" t="e">
        <f t="shared" si="29"/>
        <v>#N/A</v>
      </c>
      <c r="AH113" s="5" t="e">
        <f t="shared" si="30"/>
        <v>#N/A</v>
      </c>
      <c r="AI113" s="5" t="e">
        <f t="shared" si="31"/>
        <v>#N/A</v>
      </c>
    </row>
    <row r="114" spans="1:35" x14ac:dyDescent="0.25">
      <c r="A114" s="2" t="s">
        <v>115</v>
      </c>
      <c r="B114" t="s">
        <v>215</v>
      </c>
      <c r="C114" t="e">
        <f>VLOOKUP(A114,[1]FO!$A$2:$A$69,2,0)</f>
        <v>#REF!</v>
      </c>
      <c r="D114" s="4">
        <v>9.6</v>
      </c>
      <c r="E114" s="10">
        <v>20.149999999999999</v>
      </c>
      <c r="G114" t="s">
        <v>232</v>
      </c>
      <c r="H114" s="1">
        <v>70688</v>
      </c>
      <c r="I114" s="6" t="e">
        <f t="shared" si="22"/>
        <v>#VALUE!</v>
      </c>
      <c r="J114" s="6" t="e">
        <f t="shared" si="23"/>
        <v>#VALUE!</v>
      </c>
      <c r="K114" s="5" t="e">
        <f t="shared" si="16"/>
        <v>#VALUE!</v>
      </c>
      <c r="L114" s="5" t="e">
        <f t="shared" si="17"/>
        <v>#VALUE!</v>
      </c>
      <c r="M114" s="3"/>
      <c r="N114" s="3">
        <v>565.75</v>
      </c>
      <c r="O114" s="11">
        <v>26.37</v>
      </c>
      <c r="P114" s="7">
        <f t="shared" si="24"/>
        <v>565.75</v>
      </c>
      <c r="Q114" s="7">
        <f t="shared" si="25"/>
        <v>-539.38</v>
      </c>
      <c r="R114" s="5" t="e">
        <f t="shared" si="18"/>
        <v>#DIV/0!</v>
      </c>
      <c r="S114" s="5">
        <f t="shared" si="19"/>
        <v>-0.9533893062306672</v>
      </c>
      <c r="U114">
        <v>437904</v>
      </c>
      <c r="V114" s="1">
        <f>VLOOKUP(A114,[2]Sheet1!$A:$B,2,0)</f>
        <v>2637280</v>
      </c>
      <c r="W114" s="6">
        <f t="shared" si="26"/>
        <v>437904</v>
      </c>
      <c r="X114" s="6">
        <f t="shared" si="27"/>
        <v>2199376</v>
      </c>
      <c r="Y114" s="5" t="e">
        <f t="shared" si="20"/>
        <v>#DIV/0!</v>
      </c>
      <c r="Z114" s="5">
        <f t="shared" si="21"/>
        <v>5.022507216193504</v>
      </c>
      <c r="AA114" s="9">
        <v>-2282000</v>
      </c>
      <c r="AB114" s="10">
        <v>-392000</v>
      </c>
      <c r="AD114">
        <v>3656</v>
      </c>
      <c r="AE114" s="1">
        <v>1766</v>
      </c>
      <c r="AF114" s="6">
        <f t="shared" si="28"/>
        <v>3656</v>
      </c>
      <c r="AG114" s="6">
        <f t="shared" si="29"/>
        <v>-1890</v>
      </c>
      <c r="AH114" s="5" t="e">
        <f t="shared" si="30"/>
        <v>#DIV/0!</v>
      </c>
      <c r="AI114" s="5">
        <f t="shared" si="31"/>
        <v>-0.51695842450765861</v>
      </c>
    </row>
    <row r="115" spans="1:35" x14ac:dyDescent="0.25">
      <c r="A115" s="2" t="s">
        <v>116</v>
      </c>
      <c r="B115" t="s">
        <v>215</v>
      </c>
      <c r="C115" t="e">
        <f>VLOOKUP(A115,[1]FO!$A$2:$A$69,2,0)</f>
        <v>#N/A</v>
      </c>
      <c r="D115" s="4" t="e">
        <v>#N/A</v>
      </c>
      <c r="E115" s="10" t="e">
        <v>#N/A</v>
      </c>
      <c r="G115" t="s">
        <v>232</v>
      </c>
      <c r="H115" s="1">
        <v>2077</v>
      </c>
      <c r="I115" s="6" t="e">
        <f t="shared" si="22"/>
        <v>#VALUE!</v>
      </c>
      <c r="J115" s="6" t="e">
        <f t="shared" si="23"/>
        <v>#VALUE!</v>
      </c>
      <c r="K115" s="5" t="e">
        <f t="shared" si="16"/>
        <v>#VALUE!</v>
      </c>
      <c r="L115" s="5" t="e">
        <f t="shared" si="17"/>
        <v>#VALUE!</v>
      </c>
      <c r="M115" s="3"/>
      <c r="N115" s="3" t="e">
        <v>#N/A</v>
      </c>
      <c r="O115" s="11" t="e">
        <v>#N/A</v>
      </c>
      <c r="P115" s="7" t="e">
        <f t="shared" si="24"/>
        <v>#N/A</v>
      </c>
      <c r="Q115" s="7" t="e">
        <f t="shared" si="25"/>
        <v>#N/A</v>
      </c>
      <c r="R115" s="5" t="e">
        <f t="shared" si="18"/>
        <v>#N/A</v>
      </c>
      <c r="S115" s="5" t="e">
        <f t="shared" si="19"/>
        <v>#N/A</v>
      </c>
      <c r="U115">
        <v>636014</v>
      </c>
      <c r="V115" s="1">
        <f>VLOOKUP(A115,[2]Sheet1!$A:$B,2,0)</f>
        <v>1536061</v>
      </c>
      <c r="W115" s="6">
        <f t="shared" si="26"/>
        <v>636014</v>
      </c>
      <c r="X115" s="6">
        <f t="shared" si="27"/>
        <v>900047</v>
      </c>
      <c r="Y115" s="5" t="e">
        <f t="shared" si="20"/>
        <v>#DIV/0!</v>
      </c>
      <c r="Z115" s="5">
        <f t="shared" si="21"/>
        <v>1.4151370881773042</v>
      </c>
      <c r="AA115" s="9" t="e">
        <v>#N/A</v>
      </c>
      <c r="AB115" s="10" t="e">
        <v>#N/A</v>
      </c>
      <c r="AD115" t="e">
        <v>#N/A</v>
      </c>
      <c r="AE115" s="1" t="e">
        <v>#N/A</v>
      </c>
      <c r="AF115" s="6" t="e">
        <f t="shared" si="28"/>
        <v>#N/A</v>
      </c>
      <c r="AG115" s="6" t="e">
        <f t="shared" si="29"/>
        <v>#N/A</v>
      </c>
      <c r="AH115" s="5" t="e">
        <f t="shared" si="30"/>
        <v>#N/A</v>
      </c>
      <c r="AI115" s="5" t="e">
        <f t="shared" si="31"/>
        <v>#N/A</v>
      </c>
    </row>
    <row r="116" spans="1:35" x14ac:dyDescent="0.25">
      <c r="A116" s="2" t="s">
        <v>117</v>
      </c>
      <c r="B116" t="s">
        <v>215</v>
      </c>
      <c r="C116" t="e">
        <f>VLOOKUP(A116,[1]FO!$A$2:$A$69,2,0)</f>
        <v>#N/A</v>
      </c>
      <c r="D116" s="4" t="e">
        <v>#N/A</v>
      </c>
      <c r="E116" s="10" t="e">
        <v>#N/A</v>
      </c>
      <c r="G116" t="s">
        <v>234</v>
      </c>
      <c r="H116" s="1">
        <v>337</v>
      </c>
      <c r="I116" s="6" t="e">
        <f t="shared" si="22"/>
        <v>#VALUE!</v>
      </c>
      <c r="J116" s="6" t="e">
        <f t="shared" si="23"/>
        <v>#VALUE!</v>
      </c>
      <c r="K116" s="5" t="e">
        <f t="shared" si="16"/>
        <v>#VALUE!</v>
      </c>
      <c r="L116" s="5" t="e">
        <f t="shared" si="17"/>
        <v>#VALUE!</v>
      </c>
      <c r="M116" s="3"/>
      <c r="N116" s="3" t="e">
        <v>#N/A</v>
      </c>
      <c r="O116" s="11" t="e">
        <v>#N/A</v>
      </c>
      <c r="P116" s="7" t="e">
        <f t="shared" si="24"/>
        <v>#N/A</v>
      </c>
      <c r="Q116" s="7" t="e">
        <f t="shared" si="25"/>
        <v>#N/A</v>
      </c>
      <c r="R116" s="5" t="e">
        <f t="shared" si="18"/>
        <v>#N/A</v>
      </c>
      <c r="S116" s="5" t="e">
        <f t="shared" si="19"/>
        <v>#N/A</v>
      </c>
      <c r="U116" t="e">
        <v>#N/A</v>
      </c>
      <c r="V116" s="1" t="e">
        <f>VLOOKUP(A116,[2]Sheet1!$A:$B,2,0)</f>
        <v>#N/A</v>
      </c>
      <c r="W116" s="6" t="e">
        <f t="shared" si="26"/>
        <v>#N/A</v>
      </c>
      <c r="X116" s="6" t="e">
        <f t="shared" si="27"/>
        <v>#N/A</v>
      </c>
      <c r="Y116" s="5" t="e">
        <f t="shared" si="20"/>
        <v>#N/A</v>
      </c>
      <c r="Z116" s="5" t="e">
        <f t="shared" si="21"/>
        <v>#N/A</v>
      </c>
      <c r="AA116" s="9" t="e">
        <v>#N/A</v>
      </c>
      <c r="AB116" s="10" t="e">
        <v>#N/A</v>
      </c>
      <c r="AD116" t="e">
        <v>#N/A</v>
      </c>
      <c r="AE116" s="1" t="e">
        <v>#N/A</v>
      </c>
      <c r="AF116" s="6" t="e">
        <f t="shared" si="28"/>
        <v>#N/A</v>
      </c>
      <c r="AG116" s="6" t="e">
        <f t="shared" si="29"/>
        <v>#N/A</v>
      </c>
      <c r="AH116" s="5" t="e">
        <f t="shared" si="30"/>
        <v>#N/A</v>
      </c>
      <c r="AI116" s="5" t="e">
        <f t="shared" si="31"/>
        <v>#N/A</v>
      </c>
    </row>
    <row r="117" spans="1:35" x14ac:dyDescent="0.25">
      <c r="A117" s="2" t="s">
        <v>118</v>
      </c>
      <c r="B117" t="s">
        <v>215</v>
      </c>
      <c r="C117" t="e">
        <f>VLOOKUP(A117,[1]FO!$A$2:$A$69,2,0)</f>
        <v>#N/A</v>
      </c>
      <c r="D117" s="4" t="e">
        <v>#N/A</v>
      </c>
      <c r="E117" s="10" t="e">
        <v>#N/A</v>
      </c>
      <c r="G117" t="s">
        <v>232</v>
      </c>
      <c r="H117" s="1">
        <v>44591</v>
      </c>
      <c r="I117" s="6" t="e">
        <f t="shared" si="22"/>
        <v>#VALUE!</v>
      </c>
      <c r="J117" s="6" t="e">
        <f t="shared" si="23"/>
        <v>#VALUE!</v>
      </c>
      <c r="K117" s="5" t="e">
        <f t="shared" si="16"/>
        <v>#VALUE!</v>
      </c>
      <c r="L117" s="5" t="e">
        <f t="shared" si="17"/>
        <v>#VALUE!</v>
      </c>
      <c r="M117" s="3"/>
      <c r="N117" s="3" t="e">
        <v>#N/A</v>
      </c>
      <c r="O117" s="11" t="e">
        <v>#N/A</v>
      </c>
      <c r="P117" s="7" t="e">
        <f t="shared" si="24"/>
        <v>#N/A</v>
      </c>
      <c r="Q117" s="7" t="e">
        <f t="shared" si="25"/>
        <v>#N/A</v>
      </c>
      <c r="R117" s="5" t="e">
        <f t="shared" si="18"/>
        <v>#N/A</v>
      </c>
      <c r="S117" s="5" t="e">
        <f t="shared" si="19"/>
        <v>#N/A</v>
      </c>
      <c r="U117">
        <v>185363</v>
      </c>
      <c r="V117" s="1">
        <f>VLOOKUP(A117,[2]Sheet1!$A:$B,2,0)</f>
        <v>1865466</v>
      </c>
      <c r="W117" s="6">
        <f t="shared" si="26"/>
        <v>185363</v>
      </c>
      <c r="X117" s="6">
        <f t="shared" si="27"/>
        <v>1680103</v>
      </c>
      <c r="Y117" s="5" t="e">
        <f t="shared" si="20"/>
        <v>#DIV/0!</v>
      </c>
      <c r="Z117" s="5">
        <f t="shared" si="21"/>
        <v>9.0638530882646489</v>
      </c>
      <c r="AA117" s="9" t="e">
        <v>#N/A</v>
      </c>
      <c r="AB117" s="10" t="e">
        <v>#N/A</v>
      </c>
      <c r="AD117" t="e">
        <v>#N/A</v>
      </c>
      <c r="AE117" s="1" t="e">
        <v>#N/A</v>
      </c>
      <c r="AF117" s="6" t="e">
        <f t="shared" si="28"/>
        <v>#N/A</v>
      </c>
      <c r="AG117" s="6" t="e">
        <f t="shared" si="29"/>
        <v>#N/A</v>
      </c>
      <c r="AH117" s="5" t="e">
        <f t="shared" si="30"/>
        <v>#N/A</v>
      </c>
      <c r="AI117" s="5" t="e">
        <f t="shared" si="31"/>
        <v>#N/A</v>
      </c>
    </row>
    <row r="118" spans="1:35" x14ac:dyDescent="0.25">
      <c r="A118" s="2" t="s">
        <v>119</v>
      </c>
      <c r="B118" t="s">
        <v>215</v>
      </c>
      <c r="C118" t="e">
        <f>VLOOKUP(A118,[1]FO!$A$2:$A$69,2,0)</f>
        <v>#N/A</v>
      </c>
      <c r="D118" s="4" t="e">
        <v>#N/A</v>
      </c>
      <c r="E118" s="10" t="e">
        <v>#N/A</v>
      </c>
      <c r="G118" t="s">
        <v>232</v>
      </c>
      <c r="H118" s="1">
        <v>12129</v>
      </c>
      <c r="I118" s="6" t="e">
        <f t="shared" si="22"/>
        <v>#VALUE!</v>
      </c>
      <c r="J118" s="6" t="e">
        <f t="shared" si="23"/>
        <v>#VALUE!</v>
      </c>
      <c r="K118" s="5" t="e">
        <f t="shared" si="16"/>
        <v>#VALUE!</v>
      </c>
      <c r="L118" s="5" t="e">
        <f t="shared" si="17"/>
        <v>#VALUE!</v>
      </c>
      <c r="M118" s="3"/>
      <c r="N118" s="3" t="e">
        <v>#N/A</v>
      </c>
      <c r="O118" s="11" t="e">
        <v>#N/A</v>
      </c>
      <c r="P118" s="7" t="e">
        <f t="shared" si="24"/>
        <v>#N/A</v>
      </c>
      <c r="Q118" s="7" t="e">
        <f t="shared" si="25"/>
        <v>#N/A</v>
      </c>
      <c r="R118" s="5" t="e">
        <f t="shared" si="18"/>
        <v>#N/A</v>
      </c>
      <c r="S118" s="5" t="e">
        <f t="shared" si="19"/>
        <v>#N/A</v>
      </c>
      <c r="U118">
        <v>83129</v>
      </c>
      <c r="V118" s="1">
        <f>VLOOKUP(A118,[2]Sheet1!$A:$B,2,0)</f>
        <v>715866</v>
      </c>
      <c r="W118" s="6">
        <f t="shared" si="26"/>
        <v>83129</v>
      </c>
      <c r="X118" s="6">
        <f t="shared" si="27"/>
        <v>632737</v>
      </c>
      <c r="Y118" s="5" t="e">
        <f t="shared" si="20"/>
        <v>#DIV/0!</v>
      </c>
      <c r="Z118" s="5">
        <f t="shared" si="21"/>
        <v>7.6115074161844847</v>
      </c>
      <c r="AA118" s="9" t="e">
        <v>#N/A</v>
      </c>
      <c r="AB118" s="10" t="e">
        <v>#N/A</v>
      </c>
      <c r="AD118" t="e">
        <v>#N/A</v>
      </c>
      <c r="AE118" s="1" t="e">
        <v>#N/A</v>
      </c>
      <c r="AF118" s="6" t="e">
        <f t="shared" si="28"/>
        <v>#N/A</v>
      </c>
      <c r="AG118" s="6" t="e">
        <f t="shared" si="29"/>
        <v>#N/A</v>
      </c>
      <c r="AH118" s="5" t="e">
        <f t="shared" si="30"/>
        <v>#N/A</v>
      </c>
      <c r="AI118" s="5" t="e">
        <f t="shared" si="31"/>
        <v>#N/A</v>
      </c>
    </row>
    <row r="119" spans="1:35" x14ac:dyDescent="0.25">
      <c r="A119" s="2" t="s">
        <v>120</v>
      </c>
      <c r="B119" t="s">
        <v>215</v>
      </c>
      <c r="C119" t="e">
        <f>VLOOKUP(A119,[1]FO!$A$2:$A$69,2,0)</f>
        <v>#REF!</v>
      </c>
      <c r="D119" s="4">
        <v>20.8</v>
      </c>
      <c r="E119" s="10">
        <v>8.1999999999999993</v>
      </c>
      <c r="G119" t="s">
        <v>232</v>
      </c>
      <c r="H119" s="1">
        <v>59075</v>
      </c>
      <c r="I119" s="6" t="e">
        <f t="shared" si="22"/>
        <v>#VALUE!</v>
      </c>
      <c r="J119" s="6" t="e">
        <f t="shared" si="23"/>
        <v>#VALUE!</v>
      </c>
      <c r="K119" s="5" t="e">
        <f t="shared" si="16"/>
        <v>#VALUE!</v>
      </c>
      <c r="L119" s="5" t="e">
        <f t="shared" si="17"/>
        <v>#VALUE!</v>
      </c>
      <c r="M119" s="3"/>
      <c r="N119" s="3">
        <v>416.1</v>
      </c>
      <c r="O119" s="11">
        <v>32.880000000000003</v>
      </c>
      <c r="P119" s="7">
        <f t="shared" si="24"/>
        <v>416.1</v>
      </c>
      <c r="Q119" s="7">
        <f t="shared" si="25"/>
        <v>-383.22</v>
      </c>
      <c r="R119" s="5" t="e">
        <f t="shared" si="18"/>
        <v>#DIV/0!</v>
      </c>
      <c r="S119" s="5">
        <f t="shared" si="19"/>
        <v>-0.92098053352559484</v>
      </c>
      <c r="U119">
        <v>1424214</v>
      </c>
      <c r="V119" s="1">
        <f>VLOOKUP(A119,[2]Sheet1!$A:$B,2,0)</f>
        <v>3287882</v>
      </c>
      <c r="W119" s="6">
        <f t="shared" si="26"/>
        <v>1424214</v>
      </c>
      <c r="X119" s="6">
        <f t="shared" si="27"/>
        <v>1863668</v>
      </c>
      <c r="Y119" s="5" t="e">
        <f t="shared" si="20"/>
        <v>#DIV/0!</v>
      </c>
      <c r="Z119" s="5">
        <f t="shared" si="21"/>
        <v>1.3085589665598008</v>
      </c>
      <c r="AA119" s="9">
        <v>-1743000</v>
      </c>
      <c r="AB119" s="10">
        <v>-753000</v>
      </c>
      <c r="AD119">
        <v>3652</v>
      </c>
      <c r="AE119" s="1">
        <v>2231</v>
      </c>
      <c r="AF119" s="6">
        <f t="shared" si="28"/>
        <v>3652</v>
      </c>
      <c r="AG119" s="6">
        <f t="shared" si="29"/>
        <v>-1421</v>
      </c>
      <c r="AH119" s="5" t="e">
        <f t="shared" si="30"/>
        <v>#DIV/0!</v>
      </c>
      <c r="AI119" s="5">
        <f t="shared" si="31"/>
        <v>-0.38910186199342828</v>
      </c>
    </row>
    <row r="120" spans="1:35" x14ac:dyDescent="0.25">
      <c r="A120" s="2" t="s">
        <v>121</v>
      </c>
      <c r="B120" t="s">
        <v>215</v>
      </c>
      <c r="C120" t="e">
        <f>VLOOKUP(A120,[1]FO!$A$2:$A$69,2,0)</f>
        <v>#N/A</v>
      </c>
      <c r="D120" s="4" t="e">
        <v>#N/A</v>
      </c>
      <c r="E120" s="10" t="e">
        <v>#N/A</v>
      </c>
      <c r="G120" t="s">
        <v>232</v>
      </c>
      <c r="H120" s="1">
        <v>510</v>
      </c>
      <c r="I120" s="6" t="e">
        <f t="shared" si="22"/>
        <v>#VALUE!</v>
      </c>
      <c r="J120" s="6" t="e">
        <f t="shared" si="23"/>
        <v>#VALUE!</v>
      </c>
      <c r="K120" s="5" t="e">
        <f t="shared" si="16"/>
        <v>#VALUE!</v>
      </c>
      <c r="L120" s="5" t="e">
        <f t="shared" si="17"/>
        <v>#VALUE!</v>
      </c>
      <c r="M120" s="3"/>
      <c r="N120" s="3" t="e">
        <v>#N/A</v>
      </c>
      <c r="O120" s="11" t="e">
        <v>#N/A</v>
      </c>
      <c r="P120" s="7" t="e">
        <f t="shared" si="24"/>
        <v>#N/A</v>
      </c>
      <c r="Q120" s="7" t="e">
        <f t="shared" si="25"/>
        <v>#N/A</v>
      </c>
      <c r="R120" s="5" t="e">
        <f t="shared" si="18"/>
        <v>#N/A</v>
      </c>
      <c r="S120" s="5" t="e">
        <f t="shared" si="19"/>
        <v>#N/A</v>
      </c>
      <c r="U120">
        <v>164613</v>
      </c>
      <c r="V120" s="1">
        <f>VLOOKUP(A120,[2]Sheet1!$A:$B,2,0)</f>
        <v>87434</v>
      </c>
      <c r="W120" s="6">
        <f t="shared" si="26"/>
        <v>164613</v>
      </c>
      <c r="X120" s="6">
        <f t="shared" si="27"/>
        <v>-77179</v>
      </c>
      <c r="Y120" s="5" t="e">
        <f t="shared" si="20"/>
        <v>#DIV/0!</v>
      </c>
      <c r="Z120" s="5">
        <f t="shared" si="21"/>
        <v>-0.4688511842928566</v>
      </c>
      <c r="AA120" s="9" t="e">
        <v>#N/A</v>
      </c>
      <c r="AB120" s="10" t="e">
        <v>#N/A</v>
      </c>
      <c r="AD120" t="e">
        <v>#N/A</v>
      </c>
      <c r="AE120" s="1" t="e">
        <v>#N/A</v>
      </c>
      <c r="AF120" s="6" t="e">
        <f t="shared" si="28"/>
        <v>#N/A</v>
      </c>
      <c r="AG120" s="6" t="e">
        <f t="shared" si="29"/>
        <v>#N/A</v>
      </c>
      <c r="AH120" s="5" t="e">
        <f t="shared" si="30"/>
        <v>#N/A</v>
      </c>
      <c r="AI120" s="5" t="e">
        <f t="shared" si="31"/>
        <v>#N/A</v>
      </c>
    </row>
    <row r="121" spans="1:35" x14ac:dyDescent="0.25">
      <c r="A121" s="2" t="s">
        <v>122</v>
      </c>
      <c r="B121" t="s">
        <v>215</v>
      </c>
      <c r="C121" t="e">
        <f>VLOOKUP(A121,[1]FO!$A$2:$A$69,2,0)</f>
        <v>#N/A</v>
      </c>
      <c r="D121" s="4" t="e">
        <v>#N/A</v>
      </c>
      <c r="E121" s="10" t="e">
        <v>#N/A</v>
      </c>
      <c r="G121" t="s">
        <v>232</v>
      </c>
      <c r="H121" s="1">
        <v>5850</v>
      </c>
      <c r="I121" s="6" t="e">
        <f t="shared" si="22"/>
        <v>#VALUE!</v>
      </c>
      <c r="J121" s="6" t="e">
        <f t="shared" si="23"/>
        <v>#VALUE!</v>
      </c>
      <c r="K121" s="5" t="e">
        <f t="shared" si="16"/>
        <v>#VALUE!</v>
      </c>
      <c r="L121" s="5" t="e">
        <f t="shared" si="17"/>
        <v>#VALUE!</v>
      </c>
      <c r="M121" s="3"/>
      <c r="N121" s="3" t="e">
        <v>#N/A</v>
      </c>
      <c r="O121" s="11" t="e">
        <v>#N/A</v>
      </c>
      <c r="P121" s="7" t="e">
        <f t="shared" si="24"/>
        <v>#N/A</v>
      </c>
      <c r="Q121" s="7" t="e">
        <f t="shared" si="25"/>
        <v>#N/A</v>
      </c>
      <c r="R121" s="5" t="e">
        <f t="shared" si="18"/>
        <v>#N/A</v>
      </c>
      <c r="S121" s="5" t="e">
        <f t="shared" si="19"/>
        <v>#N/A</v>
      </c>
      <c r="U121">
        <v>317404</v>
      </c>
      <c r="V121" s="1">
        <f>VLOOKUP(A121,[2]Sheet1!$A:$B,2,0)</f>
        <v>1381908</v>
      </c>
      <c r="W121" s="6">
        <f t="shared" si="26"/>
        <v>317404</v>
      </c>
      <c r="X121" s="6">
        <f t="shared" si="27"/>
        <v>1064504</v>
      </c>
      <c r="Y121" s="5" t="e">
        <f t="shared" si="20"/>
        <v>#DIV/0!</v>
      </c>
      <c r="Z121" s="5">
        <f t="shared" si="21"/>
        <v>3.3537825610263261</v>
      </c>
      <c r="AA121" s="9" t="e">
        <v>#N/A</v>
      </c>
      <c r="AB121" s="10" t="e">
        <v>#N/A</v>
      </c>
      <c r="AD121" t="e">
        <v>#N/A</v>
      </c>
      <c r="AE121" s="1" t="e">
        <v>#N/A</v>
      </c>
      <c r="AF121" s="6" t="e">
        <f t="shared" si="28"/>
        <v>#N/A</v>
      </c>
      <c r="AG121" s="6" t="e">
        <f t="shared" si="29"/>
        <v>#N/A</v>
      </c>
      <c r="AH121" s="5" t="e">
        <f t="shared" si="30"/>
        <v>#N/A</v>
      </c>
      <c r="AI121" s="5" t="e">
        <f t="shared" si="31"/>
        <v>#N/A</v>
      </c>
    </row>
    <row r="122" spans="1:35" x14ac:dyDescent="0.25">
      <c r="A122" s="2" t="s">
        <v>123</v>
      </c>
      <c r="B122" t="s">
        <v>215</v>
      </c>
      <c r="C122" t="e">
        <f>VLOOKUP(A122,[1]FO!$A$2:$A$69,2,0)</f>
        <v>#REF!</v>
      </c>
      <c r="D122" s="4">
        <v>0.25</v>
      </c>
      <c r="E122" s="10">
        <v>0</v>
      </c>
      <c r="G122" t="s">
        <v>232</v>
      </c>
      <c r="H122" s="1">
        <v>187922</v>
      </c>
      <c r="I122" s="6" t="e">
        <f t="shared" si="22"/>
        <v>#VALUE!</v>
      </c>
      <c r="J122" s="6" t="e">
        <f t="shared" si="23"/>
        <v>#VALUE!</v>
      </c>
      <c r="K122" s="5" t="e">
        <f t="shared" si="16"/>
        <v>#VALUE!</v>
      </c>
      <c r="L122" s="5" t="e">
        <f t="shared" si="17"/>
        <v>#VALUE!</v>
      </c>
      <c r="M122" s="3"/>
      <c r="N122" s="3">
        <v>4.4000000000000004</v>
      </c>
      <c r="O122" s="11">
        <v>3075.49</v>
      </c>
      <c r="P122" s="7">
        <f t="shared" si="24"/>
        <v>4.4000000000000004</v>
      </c>
      <c r="Q122" s="7">
        <f t="shared" si="25"/>
        <v>3071.0899999999997</v>
      </c>
      <c r="R122" s="5" t="e">
        <f t="shared" si="18"/>
        <v>#DIV/0!</v>
      </c>
      <c r="S122" s="5">
        <f t="shared" si="19"/>
        <v>697.97499999999991</v>
      </c>
      <c r="U122">
        <v>74275706</v>
      </c>
      <c r="V122" s="1">
        <f>VLOOKUP(A122,[2]Sheet1!$A:$B,2,0)</f>
        <v>307549428</v>
      </c>
      <c r="W122" s="6">
        <f t="shared" si="26"/>
        <v>74275706</v>
      </c>
      <c r="X122" s="6">
        <f t="shared" si="27"/>
        <v>233273722</v>
      </c>
      <c r="Y122" s="5" t="e">
        <f t="shared" si="20"/>
        <v>#DIV/0!</v>
      </c>
      <c r="Z122" s="5">
        <f t="shared" si="21"/>
        <v>3.1406463103831017</v>
      </c>
      <c r="AA122" s="9">
        <v>-91042000</v>
      </c>
      <c r="AB122" s="10">
        <v>-97216000</v>
      </c>
      <c r="AD122">
        <v>2613</v>
      </c>
      <c r="AE122" s="1">
        <v>1833</v>
      </c>
      <c r="AF122" s="6">
        <f t="shared" si="28"/>
        <v>2613</v>
      </c>
      <c r="AG122" s="6">
        <f t="shared" si="29"/>
        <v>-780</v>
      </c>
      <c r="AH122" s="5" t="e">
        <f t="shared" si="30"/>
        <v>#DIV/0!</v>
      </c>
      <c r="AI122" s="5">
        <f t="shared" si="31"/>
        <v>-0.29850746268656714</v>
      </c>
    </row>
    <row r="123" spans="1:35" x14ac:dyDescent="0.25">
      <c r="A123" s="2" t="s">
        <v>124</v>
      </c>
      <c r="B123" t="s">
        <v>215</v>
      </c>
      <c r="C123" t="e">
        <f>VLOOKUP(A123,[1]FO!$A$2:$A$69,2,0)</f>
        <v>#N/A</v>
      </c>
      <c r="D123" s="4" t="e">
        <v>#N/A</v>
      </c>
      <c r="E123" s="10" t="e">
        <v>#N/A</v>
      </c>
      <c r="G123" t="s">
        <v>232</v>
      </c>
      <c r="H123" s="1">
        <v>16161</v>
      </c>
      <c r="I123" s="6" t="e">
        <f t="shared" si="22"/>
        <v>#VALUE!</v>
      </c>
      <c r="J123" s="6" t="e">
        <f t="shared" si="23"/>
        <v>#VALUE!</v>
      </c>
      <c r="K123" s="5" t="e">
        <f t="shared" si="16"/>
        <v>#VALUE!</v>
      </c>
      <c r="L123" s="5" t="e">
        <f t="shared" si="17"/>
        <v>#VALUE!</v>
      </c>
      <c r="M123" s="3"/>
      <c r="N123" s="3" t="e">
        <v>#N/A</v>
      </c>
      <c r="O123" s="11" t="e">
        <v>#N/A</v>
      </c>
      <c r="P123" s="7" t="e">
        <f t="shared" si="24"/>
        <v>#N/A</v>
      </c>
      <c r="Q123" s="7" t="e">
        <f t="shared" si="25"/>
        <v>#N/A</v>
      </c>
      <c r="R123" s="5" t="e">
        <f t="shared" si="18"/>
        <v>#N/A</v>
      </c>
      <c r="S123" s="5" t="e">
        <f t="shared" si="19"/>
        <v>#N/A</v>
      </c>
      <c r="U123">
        <v>3032042</v>
      </c>
      <c r="V123" s="1">
        <f>VLOOKUP(A123,[2]Sheet1!$A:$B,2,0)</f>
        <v>5880072</v>
      </c>
      <c r="W123" s="6">
        <f t="shared" si="26"/>
        <v>3032042</v>
      </c>
      <c r="X123" s="6">
        <f t="shared" si="27"/>
        <v>2848030</v>
      </c>
      <c r="Y123" s="5" t="e">
        <f t="shared" si="20"/>
        <v>#DIV/0!</v>
      </c>
      <c r="Z123" s="5">
        <f t="shared" si="21"/>
        <v>0.93931086706582556</v>
      </c>
      <c r="AA123" s="9" t="e">
        <v>#N/A</v>
      </c>
      <c r="AB123" s="10" t="e">
        <v>#N/A</v>
      </c>
      <c r="AD123" t="e">
        <v>#N/A</v>
      </c>
      <c r="AE123" s="1" t="e">
        <v>#N/A</v>
      </c>
      <c r="AF123" s="6" t="e">
        <f t="shared" si="28"/>
        <v>#N/A</v>
      </c>
      <c r="AG123" s="6" t="e">
        <f t="shared" si="29"/>
        <v>#N/A</v>
      </c>
      <c r="AH123" s="5" t="e">
        <f t="shared" si="30"/>
        <v>#N/A</v>
      </c>
      <c r="AI123" s="5" t="e">
        <f t="shared" si="31"/>
        <v>#N/A</v>
      </c>
    </row>
    <row r="124" spans="1:35" x14ac:dyDescent="0.25">
      <c r="A124" s="2" t="s">
        <v>125</v>
      </c>
      <c r="B124" t="s">
        <v>215</v>
      </c>
      <c r="C124" t="e">
        <f>VLOOKUP(A124,[1]FO!$A$2:$A$69,2,0)</f>
        <v>#N/A</v>
      </c>
      <c r="D124" s="4" t="e">
        <v>#N/A</v>
      </c>
      <c r="E124" s="10" t="e">
        <v>#N/A</v>
      </c>
      <c r="G124" t="e">
        <v>#N/A</v>
      </c>
      <c r="H124" s="1" t="e">
        <v>#N/A</v>
      </c>
      <c r="I124" s="6" t="e">
        <f t="shared" si="22"/>
        <v>#N/A</v>
      </c>
      <c r="J124" s="6" t="e">
        <f t="shared" si="23"/>
        <v>#N/A</v>
      </c>
      <c r="K124" s="5" t="e">
        <f t="shared" si="16"/>
        <v>#N/A</v>
      </c>
      <c r="L124" s="5" t="e">
        <f t="shared" si="17"/>
        <v>#N/A</v>
      </c>
      <c r="M124" s="3"/>
      <c r="N124" s="3" t="e">
        <v>#N/A</v>
      </c>
      <c r="O124" s="11" t="e">
        <v>#N/A</v>
      </c>
      <c r="P124" s="7" t="e">
        <f t="shared" si="24"/>
        <v>#N/A</v>
      </c>
      <c r="Q124" s="7" t="e">
        <f t="shared" si="25"/>
        <v>#N/A</v>
      </c>
      <c r="R124" s="5" t="e">
        <f t="shared" si="18"/>
        <v>#N/A</v>
      </c>
      <c r="S124" s="5" t="e">
        <f t="shared" si="19"/>
        <v>#N/A</v>
      </c>
      <c r="U124" t="e">
        <v>#N/A</v>
      </c>
      <c r="V124" s="1" t="e">
        <f>VLOOKUP(A124,[2]Sheet1!$A:$B,2,0)</f>
        <v>#N/A</v>
      </c>
      <c r="W124" s="6" t="e">
        <f t="shared" si="26"/>
        <v>#N/A</v>
      </c>
      <c r="X124" s="6" t="e">
        <f t="shared" si="27"/>
        <v>#N/A</v>
      </c>
      <c r="Y124" s="5" t="e">
        <f t="shared" si="20"/>
        <v>#N/A</v>
      </c>
      <c r="Z124" s="5" t="e">
        <f t="shared" si="21"/>
        <v>#N/A</v>
      </c>
      <c r="AA124" s="9" t="e">
        <v>#N/A</v>
      </c>
      <c r="AB124" s="10" t="e">
        <v>#N/A</v>
      </c>
      <c r="AD124" t="e">
        <v>#N/A</v>
      </c>
      <c r="AE124" s="1" t="e">
        <v>#N/A</v>
      </c>
      <c r="AF124" s="6" t="e">
        <f t="shared" si="28"/>
        <v>#N/A</v>
      </c>
      <c r="AG124" s="6" t="e">
        <f t="shared" si="29"/>
        <v>#N/A</v>
      </c>
      <c r="AH124" s="5" t="e">
        <f t="shared" si="30"/>
        <v>#N/A</v>
      </c>
      <c r="AI124" s="5" t="e">
        <f t="shared" si="31"/>
        <v>#N/A</v>
      </c>
    </row>
    <row r="125" spans="1:35" x14ac:dyDescent="0.25">
      <c r="A125" s="2" t="s">
        <v>126</v>
      </c>
      <c r="B125" t="s">
        <v>215</v>
      </c>
      <c r="C125" t="e">
        <f>VLOOKUP(A125,[1]FO!$A$2:$A$69,2,0)</f>
        <v>#N/A</v>
      </c>
      <c r="D125" s="4" t="e">
        <v>#N/A</v>
      </c>
      <c r="E125" s="10" t="e">
        <v>#N/A</v>
      </c>
      <c r="G125" t="s">
        <v>232</v>
      </c>
      <c r="H125" s="1">
        <v>43068</v>
      </c>
      <c r="I125" s="6" t="e">
        <f t="shared" si="22"/>
        <v>#VALUE!</v>
      </c>
      <c r="J125" s="6" t="e">
        <f t="shared" si="23"/>
        <v>#VALUE!</v>
      </c>
      <c r="K125" s="5" t="e">
        <f t="shared" si="16"/>
        <v>#VALUE!</v>
      </c>
      <c r="L125" s="5" t="e">
        <f t="shared" si="17"/>
        <v>#VALUE!</v>
      </c>
      <c r="M125" s="3"/>
      <c r="N125" s="3" t="e">
        <v>#N/A</v>
      </c>
      <c r="O125" s="11" t="e">
        <v>#N/A</v>
      </c>
      <c r="P125" s="7" t="e">
        <f t="shared" si="24"/>
        <v>#N/A</v>
      </c>
      <c r="Q125" s="7" t="e">
        <f t="shared" si="25"/>
        <v>#N/A</v>
      </c>
      <c r="R125" s="5" t="e">
        <f t="shared" si="18"/>
        <v>#N/A</v>
      </c>
      <c r="S125" s="5" t="e">
        <f t="shared" si="19"/>
        <v>#N/A</v>
      </c>
      <c r="U125">
        <v>952677</v>
      </c>
      <c r="V125" s="1">
        <f>VLOOKUP(A125,[2]Sheet1!$A:$B,2,0)</f>
        <v>4289377</v>
      </c>
      <c r="W125" s="6">
        <f t="shared" si="26"/>
        <v>952677</v>
      </c>
      <c r="X125" s="6">
        <f t="shared" si="27"/>
        <v>3336700</v>
      </c>
      <c r="Y125" s="5" t="e">
        <f t="shared" si="20"/>
        <v>#DIV/0!</v>
      </c>
      <c r="Z125" s="5">
        <f t="shared" si="21"/>
        <v>3.5024462645786558</v>
      </c>
      <c r="AA125" s="9" t="e">
        <v>#N/A</v>
      </c>
      <c r="AB125" s="10" t="e">
        <v>#N/A</v>
      </c>
      <c r="AD125" t="e">
        <v>#N/A</v>
      </c>
      <c r="AE125" s="1" t="e">
        <v>#N/A</v>
      </c>
      <c r="AF125" s="6" t="e">
        <f t="shared" si="28"/>
        <v>#N/A</v>
      </c>
      <c r="AG125" s="6" t="e">
        <f t="shared" si="29"/>
        <v>#N/A</v>
      </c>
      <c r="AH125" s="5" t="e">
        <f t="shared" si="30"/>
        <v>#N/A</v>
      </c>
      <c r="AI125" s="5" t="e">
        <f t="shared" si="31"/>
        <v>#N/A</v>
      </c>
    </row>
    <row r="126" spans="1:35" x14ac:dyDescent="0.25">
      <c r="A126" s="2" t="s">
        <v>127</v>
      </c>
      <c r="B126" t="s">
        <v>215</v>
      </c>
      <c r="C126" t="e">
        <f>VLOOKUP(A126,[1]FO!$A$2:$A$69,2,0)</f>
        <v>#REF!</v>
      </c>
      <c r="D126" s="4">
        <v>9.15</v>
      </c>
      <c r="E126" s="10">
        <v>0.7</v>
      </c>
      <c r="G126" t="s">
        <v>232</v>
      </c>
      <c r="H126" s="1">
        <v>57628</v>
      </c>
      <c r="I126" s="6" t="e">
        <f t="shared" si="22"/>
        <v>#VALUE!</v>
      </c>
      <c r="J126" s="6" t="e">
        <f t="shared" si="23"/>
        <v>#VALUE!</v>
      </c>
      <c r="K126" s="5" t="e">
        <f t="shared" si="16"/>
        <v>#VALUE!</v>
      </c>
      <c r="L126" s="5" t="e">
        <f t="shared" si="17"/>
        <v>#VALUE!</v>
      </c>
      <c r="M126" s="3"/>
      <c r="N126" s="3">
        <v>485</v>
      </c>
      <c r="O126" s="11">
        <v>24.23</v>
      </c>
      <c r="P126" s="7">
        <f t="shared" si="24"/>
        <v>485</v>
      </c>
      <c r="Q126" s="7">
        <f t="shared" si="25"/>
        <v>-460.77</v>
      </c>
      <c r="R126" s="5" t="e">
        <f t="shared" si="18"/>
        <v>#DIV/0!</v>
      </c>
      <c r="S126" s="5">
        <f t="shared" si="19"/>
        <v>-0.95004123711340205</v>
      </c>
      <c r="U126">
        <v>1142826</v>
      </c>
      <c r="V126" s="1">
        <f>VLOOKUP(A126,[2]Sheet1!$A:$B,2,0)</f>
        <v>2423236</v>
      </c>
      <c r="W126" s="6">
        <f t="shared" si="26"/>
        <v>1142826</v>
      </c>
      <c r="X126" s="6">
        <f t="shared" si="27"/>
        <v>1280410</v>
      </c>
      <c r="Y126" s="5" t="e">
        <f t="shared" si="20"/>
        <v>#DIV/0!</v>
      </c>
      <c r="Z126" s="5">
        <f t="shared" si="21"/>
        <v>1.1203892806078966</v>
      </c>
      <c r="AA126" s="9">
        <v>-2497000</v>
      </c>
      <c r="AB126" s="10">
        <v>-770000</v>
      </c>
      <c r="AD126">
        <v>3224</v>
      </c>
      <c r="AE126" s="1">
        <v>832</v>
      </c>
      <c r="AF126" s="6">
        <f t="shared" si="28"/>
        <v>3224</v>
      </c>
      <c r="AG126" s="6">
        <f t="shared" si="29"/>
        <v>-2392</v>
      </c>
      <c r="AH126" s="5" t="e">
        <f t="shared" si="30"/>
        <v>#DIV/0!</v>
      </c>
      <c r="AI126" s="5">
        <f t="shared" si="31"/>
        <v>-0.74193548387096775</v>
      </c>
    </row>
    <row r="127" spans="1:35" x14ac:dyDescent="0.25">
      <c r="A127" s="2" t="s">
        <v>128</v>
      </c>
      <c r="B127" t="s">
        <v>215</v>
      </c>
      <c r="C127" t="e">
        <f>VLOOKUP(A127,[1]FO!$A$2:$A$69,2,0)</f>
        <v>#N/A</v>
      </c>
      <c r="D127" s="4" t="e">
        <v>#N/A</v>
      </c>
      <c r="E127" s="10" t="e">
        <v>#N/A</v>
      </c>
      <c r="G127" t="s">
        <v>232</v>
      </c>
      <c r="H127" s="1">
        <v>40494</v>
      </c>
      <c r="I127" s="6" t="e">
        <f t="shared" si="22"/>
        <v>#VALUE!</v>
      </c>
      <c r="J127" s="6" t="e">
        <f t="shared" si="23"/>
        <v>#VALUE!</v>
      </c>
      <c r="K127" s="5" t="e">
        <f t="shared" si="16"/>
        <v>#VALUE!</v>
      </c>
      <c r="L127" s="5" t="e">
        <f t="shared" si="17"/>
        <v>#VALUE!</v>
      </c>
      <c r="M127" s="3"/>
      <c r="N127" s="3" t="e">
        <v>#N/A</v>
      </c>
      <c r="O127" s="11" t="e">
        <v>#N/A</v>
      </c>
      <c r="P127" s="7" t="e">
        <f t="shared" si="24"/>
        <v>#N/A</v>
      </c>
      <c r="Q127" s="7" t="e">
        <f t="shared" si="25"/>
        <v>#N/A</v>
      </c>
      <c r="R127" s="5" t="e">
        <f t="shared" si="18"/>
        <v>#N/A</v>
      </c>
      <c r="S127" s="5" t="e">
        <f t="shared" si="19"/>
        <v>#N/A</v>
      </c>
      <c r="U127">
        <v>366459</v>
      </c>
      <c r="V127" s="1">
        <f>VLOOKUP(A127,[2]Sheet1!$A:$B,2,0)</f>
        <v>7119100</v>
      </c>
      <c r="W127" s="6">
        <f t="shared" si="26"/>
        <v>366459</v>
      </c>
      <c r="X127" s="6">
        <f t="shared" si="27"/>
        <v>6752641</v>
      </c>
      <c r="Y127" s="5" t="e">
        <f t="shared" si="20"/>
        <v>#DIV/0!</v>
      </c>
      <c r="Z127" s="5">
        <f t="shared" si="21"/>
        <v>18.426729866096888</v>
      </c>
      <c r="AA127" s="9" t="e">
        <v>#N/A</v>
      </c>
      <c r="AB127" s="10" t="e">
        <v>#N/A</v>
      </c>
      <c r="AD127" t="e">
        <v>#N/A</v>
      </c>
      <c r="AE127" s="1" t="e">
        <v>#N/A</v>
      </c>
      <c r="AF127" s="6" t="e">
        <f t="shared" si="28"/>
        <v>#N/A</v>
      </c>
      <c r="AG127" s="6" t="e">
        <f t="shared" si="29"/>
        <v>#N/A</v>
      </c>
      <c r="AH127" s="5" t="e">
        <f t="shared" si="30"/>
        <v>#N/A</v>
      </c>
      <c r="AI127" s="5" t="e">
        <f t="shared" si="31"/>
        <v>#N/A</v>
      </c>
    </row>
    <row r="128" spans="1:35" x14ac:dyDescent="0.25">
      <c r="A128" s="2" t="s">
        <v>129</v>
      </c>
      <c r="B128" t="s">
        <v>215</v>
      </c>
      <c r="C128" t="e">
        <f>VLOOKUP(A128,[1]FO!$A$2:$A$69,2,0)</f>
        <v>#N/A</v>
      </c>
      <c r="D128" s="4" t="e">
        <v>#N/A</v>
      </c>
      <c r="E128" s="10" t="e">
        <v>#N/A</v>
      </c>
      <c r="G128" t="s">
        <v>232</v>
      </c>
      <c r="H128" s="1">
        <v>15885</v>
      </c>
      <c r="I128" s="6" t="e">
        <f t="shared" si="22"/>
        <v>#VALUE!</v>
      </c>
      <c r="J128" s="6" t="e">
        <f t="shared" si="23"/>
        <v>#VALUE!</v>
      </c>
      <c r="K128" s="5" t="e">
        <f t="shared" si="16"/>
        <v>#VALUE!</v>
      </c>
      <c r="L128" s="5" t="e">
        <f t="shared" si="17"/>
        <v>#VALUE!</v>
      </c>
      <c r="M128" s="3"/>
      <c r="N128" s="3" t="e">
        <v>#N/A</v>
      </c>
      <c r="O128" s="11" t="e">
        <v>#N/A</v>
      </c>
      <c r="P128" s="7" t="e">
        <f t="shared" si="24"/>
        <v>#N/A</v>
      </c>
      <c r="Q128" s="7" t="e">
        <f t="shared" si="25"/>
        <v>#N/A</v>
      </c>
      <c r="R128" s="5" t="e">
        <f t="shared" si="18"/>
        <v>#N/A</v>
      </c>
      <c r="S128" s="5" t="e">
        <f t="shared" si="19"/>
        <v>#N/A</v>
      </c>
      <c r="U128">
        <v>1091800</v>
      </c>
      <c r="V128" s="1">
        <f>VLOOKUP(A128,[2]Sheet1!$A:$B,2,0)</f>
        <v>3911235</v>
      </c>
      <c r="W128" s="6">
        <f t="shared" si="26"/>
        <v>1091800</v>
      </c>
      <c r="X128" s="6">
        <f t="shared" si="27"/>
        <v>2819435</v>
      </c>
      <c r="Y128" s="5" t="e">
        <f t="shared" si="20"/>
        <v>#DIV/0!</v>
      </c>
      <c r="Z128" s="5">
        <f t="shared" si="21"/>
        <v>2.5823731452647003</v>
      </c>
      <c r="AA128" s="9" t="e">
        <v>#N/A</v>
      </c>
      <c r="AB128" s="10" t="e">
        <v>#N/A</v>
      </c>
      <c r="AD128" t="e">
        <v>#N/A</v>
      </c>
      <c r="AE128" s="1" t="e">
        <v>#N/A</v>
      </c>
      <c r="AF128" s="6" t="e">
        <f t="shared" si="28"/>
        <v>#N/A</v>
      </c>
      <c r="AG128" s="6" t="e">
        <f t="shared" si="29"/>
        <v>#N/A</v>
      </c>
      <c r="AH128" s="5" t="e">
        <f t="shared" si="30"/>
        <v>#N/A</v>
      </c>
      <c r="AI128" s="5" t="e">
        <f t="shared" si="31"/>
        <v>#N/A</v>
      </c>
    </row>
    <row r="129" spans="1:35" x14ac:dyDescent="0.25">
      <c r="A129" s="2" t="s">
        <v>130</v>
      </c>
      <c r="B129" t="s">
        <v>215</v>
      </c>
      <c r="C129" t="e">
        <f>VLOOKUP(A129,[1]FO!$A$2:$A$69,2,0)</f>
        <v>#N/A</v>
      </c>
      <c r="D129" s="4">
        <v>12.7</v>
      </c>
      <c r="E129" s="10">
        <v>71.7</v>
      </c>
      <c r="G129" t="s">
        <v>232</v>
      </c>
      <c r="H129" s="1">
        <v>157073</v>
      </c>
      <c r="I129" s="6" t="e">
        <f t="shared" si="22"/>
        <v>#VALUE!</v>
      </c>
      <c r="J129" s="6" t="e">
        <f t="shared" si="23"/>
        <v>#VALUE!</v>
      </c>
      <c r="K129" s="5" t="e">
        <f t="shared" si="16"/>
        <v>#VALUE!</v>
      </c>
      <c r="L129" s="5" t="e">
        <f t="shared" si="17"/>
        <v>#VALUE!</v>
      </c>
      <c r="M129" s="3"/>
      <c r="N129" s="3">
        <v>1037.8499999999999</v>
      </c>
      <c r="O129" s="11">
        <v>54.02</v>
      </c>
      <c r="P129" s="7">
        <f t="shared" si="24"/>
        <v>1037.8499999999999</v>
      </c>
      <c r="Q129" s="7">
        <f t="shared" si="25"/>
        <v>-983.82999999999993</v>
      </c>
      <c r="R129" s="5" t="e">
        <f t="shared" si="18"/>
        <v>#DIV/0!</v>
      </c>
      <c r="S129" s="5">
        <f t="shared" si="19"/>
        <v>-0.94795008912655976</v>
      </c>
      <c r="U129">
        <v>552326</v>
      </c>
      <c r="V129" s="1">
        <f>VLOOKUP(A129,[2]Sheet1!$A:$B,2,0)</f>
        <v>5402344</v>
      </c>
      <c r="W129" s="6">
        <f t="shared" si="26"/>
        <v>552326</v>
      </c>
      <c r="X129" s="6">
        <f t="shared" si="27"/>
        <v>4850018</v>
      </c>
      <c r="Y129" s="5" t="e">
        <f t="shared" si="20"/>
        <v>#DIV/0!</v>
      </c>
      <c r="Z129" s="5">
        <f t="shared" si="21"/>
        <v>8.7810785659194028</v>
      </c>
      <c r="AA129" s="9">
        <v>-649200</v>
      </c>
      <c r="AB129" s="10">
        <v>-700500</v>
      </c>
      <c r="AD129">
        <v>11742</v>
      </c>
      <c r="AE129" s="1">
        <v>7129</v>
      </c>
      <c r="AF129" s="6">
        <f t="shared" si="28"/>
        <v>11742</v>
      </c>
      <c r="AG129" s="6">
        <f t="shared" si="29"/>
        <v>-4613</v>
      </c>
      <c r="AH129" s="5" t="e">
        <f t="shared" si="30"/>
        <v>#DIV/0!</v>
      </c>
      <c r="AI129" s="5">
        <f t="shared" si="31"/>
        <v>-0.39286322602623064</v>
      </c>
    </row>
    <row r="130" spans="1:35" x14ac:dyDescent="0.25">
      <c r="A130" s="2" t="s">
        <v>131</v>
      </c>
      <c r="B130" t="s">
        <v>215</v>
      </c>
      <c r="C130" t="e">
        <f>VLOOKUP(A130,[1]FO!$A$2:$A$69,2,0)</f>
        <v>#N/A</v>
      </c>
      <c r="D130" s="4" t="e">
        <v>#N/A</v>
      </c>
      <c r="E130" s="10" t="e">
        <v>#N/A</v>
      </c>
      <c r="G130" t="s">
        <v>232</v>
      </c>
      <c r="H130" s="1">
        <v>6005</v>
      </c>
      <c r="I130" s="6" t="e">
        <f t="shared" si="22"/>
        <v>#VALUE!</v>
      </c>
      <c r="J130" s="6" t="e">
        <f t="shared" si="23"/>
        <v>#VALUE!</v>
      </c>
      <c r="K130" s="5" t="e">
        <f t="shared" ref="K130:K193" si="32">I130/F130</f>
        <v>#VALUE!</v>
      </c>
      <c r="L130" s="5" t="e">
        <f t="shared" ref="L130:L193" si="33">J130/G130</f>
        <v>#VALUE!</v>
      </c>
      <c r="M130" s="3"/>
      <c r="N130" s="3" t="e">
        <v>#N/A</v>
      </c>
      <c r="O130" s="11" t="e">
        <v>#N/A</v>
      </c>
      <c r="P130" s="7" t="e">
        <f t="shared" si="24"/>
        <v>#N/A</v>
      </c>
      <c r="Q130" s="7" t="e">
        <f t="shared" si="25"/>
        <v>#N/A</v>
      </c>
      <c r="R130" s="5" t="e">
        <f t="shared" ref="R130:R193" si="34">P130/M130</f>
        <v>#N/A</v>
      </c>
      <c r="S130" s="5" t="e">
        <f t="shared" ref="S130:S193" si="35">Q130/N130</f>
        <v>#N/A</v>
      </c>
      <c r="U130">
        <v>1594790</v>
      </c>
      <c r="V130" s="1">
        <f>VLOOKUP(A130,[2]Sheet1!$A:$B,2,0)</f>
        <v>1963881</v>
      </c>
      <c r="W130" s="6">
        <f t="shared" si="26"/>
        <v>1594790</v>
      </c>
      <c r="X130" s="6">
        <f t="shared" si="27"/>
        <v>369091</v>
      </c>
      <c r="Y130" s="5" t="e">
        <f t="shared" ref="Y130:Y193" si="36">W130/T130</f>
        <v>#DIV/0!</v>
      </c>
      <c r="Z130" s="5">
        <f t="shared" ref="Z130:Z193" si="37">X130/U130</f>
        <v>0.23143548680390522</v>
      </c>
      <c r="AA130" s="9" t="e">
        <v>#N/A</v>
      </c>
      <c r="AB130" s="10" t="e">
        <v>#N/A</v>
      </c>
      <c r="AD130" t="e">
        <v>#N/A</v>
      </c>
      <c r="AE130" s="1" t="e">
        <v>#N/A</v>
      </c>
      <c r="AF130" s="6" t="e">
        <f t="shared" si="28"/>
        <v>#N/A</v>
      </c>
      <c r="AG130" s="6" t="e">
        <f t="shared" si="29"/>
        <v>#N/A</v>
      </c>
      <c r="AH130" s="5" t="e">
        <f t="shared" si="30"/>
        <v>#N/A</v>
      </c>
      <c r="AI130" s="5" t="e">
        <f t="shared" si="31"/>
        <v>#N/A</v>
      </c>
    </row>
    <row r="131" spans="1:35" x14ac:dyDescent="0.25">
      <c r="A131" s="2" t="s">
        <v>132</v>
      </c>
      <c r="B131" t="s">
        <v>215</v>
      </c>
      <c r="C131" t="e">
        <f>VLOOKUP(A131,[1]FO!$A$2:$A$69,2,0)</f>
        <v>#N/A</v>
      </c>
      <c r="D131" s="4" t="e">
        <v>#N/A</v>
      </c>
      <c r="E131" s="10" t="e">
        <v>#N/A</v>
      </c>
      <c r="G131" t="s">
        <v>232</v>
      </c>
      <c r="H131" s="1">
        <v>14924</v>
      </c>
      <c r="I131" s="6" t="e">
        <f t="shared" ref="I131:I194" si="38">G131-F131</f>
        <v>#VALUE!</v>
      </c>
      <c r="J131" s="6" t="e">
        <f t="shared" ref="J131:J194" si="39">H131-G131</f>
        <v>#VALUE!</v>
      </c>
      <c r="K131" s="5" t="e">
        <f t="shared" si="32"/>
        <v>#VALUE!</v>
      </c>
      <c r="L131" s="5" t="e">
        <f t="shared" si="33"/>
        <v>#VALUE!</v>
      </c>
      <c r="M131" s="3"/>
      <c r="N131" s="3" t="e">
        <v>#N/A</v>
      </c>
      <c r="O131" s="11" t="e">
        <v>#N/A</v>
      </c>
      <c r="P131" s="7" t="e">
        <f t="shared" ref="P131:P183" si="40">N131-M131</f>
        <v>#N/A</v>
      </c>
      <c r="Q131" s="7" t="e">
        <f t="shared" ref="Q131:Q194" si="41">O131-N131</f>
        <v>#N/A</v>
      </c>
      <c r="R131" s="5" t="e">
        <f t="shared" si="34"/>
        <v>#N/A</v>
      </c>
      <c r="S131" s="5" t="e">
        <f t="shared" si="35"/>
        <v>#N/A</v>
      </c>
      <c r="U131">
        <v>356554</v>
      </c>
      <c r="V131" s="1">
        <f>VLOOKUP(A131,[2]Sheet1!$A:$B,2,0)</f>
        <v>1771748</v>
      </c>
      <c r="W131" s="6">
        <f t="shared" ref="W131:W194" si="42">U131-T131</f>
        <v>356554</v>
      </c>
      <c r="X131" s="6">
        <f t="shared" ref="X131:X194" si="43">V131-U131</f>
        <v>1415194</v>
      </c>
      <c r="Y131" s="5" t="e">
        <f t="shared" si="36"/>
        <v>#DIV/0!</v>
      </c>
      <c r="Z131" s="5">
        <f t="shared" si="37"/>
        <v>3.969087431356821</v>
      </c>
      <c r="AA131" s="9" t="e">
        <v>#N/A</v>
      </c>
      <c r="AB131" s="10" t="e">
        <v>#N/A</v>
      </c>
      <c r="AD131" t="e">
        <v>#N/A</v>
      </c>
      <c r="AE131" s="1" t="e">
        <v>#N/A</v>
      </c>
      <c r="AF131" s="6" t="e">
        <f t="shared" ref="AF131:AF194" si="44">AD131-AC131</f>
        <v>#N/A</v>
      </c>
      <c r="AG131" s="6" t="e">
        <f t="shared" ref="AG131:AG194" si="45">AE131-AD131</f>
        <v>#N/A</v>
      </c>
      <c r="AH131" s="5" t="e">
        <f t="shared" ref="AH131:AH194" si="46">AF131/AC131</f>
        <v>#N/A</v>
      </c>
      <c r="AI131" s="5" t="e">
        <f t="shared" ref="AI131:AI194" si="47">AG131/AD131</f>
        <v>#N/A</v>
      </c>
    </row>
    <row r="132" spans="1:35" x14ac:dyDescent="0.25">
      <c r="A132" s="2" t="s">
        <v>133</v>
      </c>
      <c r="B132" t="s">
        <v>215</v>
      </c>
      <c r="C132" t="e">
        <f>VLOOKUP(A132,[1]FO!$A$2:$A$69,2,0)</f>
        <v>#N/A</v>
      </c>
      <c r="D132" s="4" t="e">
        <v>#N/A</v>
      </c>
      <c r="E132" s="10" t="e">
        <v>#N/A</v>
      </c>
      <c r="G132" t="s">
        <v>234</v>
      </c>
      <c r="H132" s="1">
        <v>572</v>
      </c>
      <c r="I132" s="6" t="e">
        <f t="shared" si="38"/>
        <v>#VALUE!</v>
      </c>
      <c r="J132" s="6" t="e">
        <f t="shared" si="39"/>
        <v>#VALUE!</v>
      </c>
      <c r="K132" s="5" t="e">
        <f t="shared" si="32"/>
        <v>#VALUE!</v>
      </c>
      <c r="L132" s="5" t="e">
        <f t="shared" si="33"/>
        <v>#VALUE!</v>
      </c>
      <c r="M132" s="3"/>
      <c r="N132" s="3" t="e">
        <v>#N/A</v>
      </c>
      <c r="O132" s="11" t="e">
        <v>#N/A</v>
      </c>
      <c r="P132" s="7" t="e">
        <f t="shared" si="40"/>
        <v>#N/A</v>
      </c>
      <c r="Q132" s="7" t="e">
        <f t="shared" si="41"/>
        <v>#N/A</v>
      </c>
      <c r="R132" s="5" t="e">
        <f t="shared" si="34"/>
        <v>#N/A</v>
      </c>
      <c r="S132" s="5" t="e">
        <f t="shared" si="35"/>
        <v>#N/A</v>
      </c>
      <c r="U132" t="e">
        <v>#N/A</v>
      </c>
      <c r="V132" s="1" t="e">
        <f>VLOOKUP(A132,[2]Sheet1!$A:$B,2,0)</f>
        <v>#N/A</v>
      </c>
      <c r="W132" s="6" t="e">
        <f t="shared" si="42"/>
        <v>#N/A</v>
      </c>
      <c r="X132" s="6" t="e">
        <f t="shared" si="43"/>
        <v>#N/A</v>
      </c>
      <c r="Y132" s="5" t="e">
        <f t="shared" si="36"/>
        <v>#N/A</v>
      </c>
      <c r="Z132" s="5" t="e">
        <f t="shared" si="37"/>
        <v>#N/A</v>
      </c>
      <c r="AA132" s="9" t="e">
        <v>#N/A</v>
      </c>
      <c r="AB132" s="10" t="e">
        <v>#N/A</v>
      </c>
      <c r="AD132" t="e">
        <v>#N/A</v>
      </c>
      <c r="AE132" s="1" t="e">
        <v>#N/A</v>
      </c>
      <c r="AF132" s="6" t="e">
        <f t="shared" si="44"/>
        <v>#N/A</v>
      </c>
      <c r="AG132" s="6" t="e">
        <f t="shared" si="45"/>
        <v>#N/A</v>
      </c>
      <c r="AH132" s="5" t="e">
        <f t="shared" si="46"/>
        <v>#N/A</v>
      </c>
      <c r="AI132" s="5" t="e">
        <f t="shared" si="47"/>
        <v>#N/A</v>
      </c>
    </row>
    <row r="133" spans="1:35" x14ac:dyDescent="0.25">
      <c r="A133" s="2" t="s">
        <v>134</v>
      </c>
      <c r="B133" t="s">
        <v>215</v>
      </c>
      <c r="C133" t="e">
        <f>VLOOKUP(A133,[1]FO!$A$2:$A$69,2,0)</f>
        <v>#N/A</v>
      </c>
      <c r="D133" s="4">
        <v>3.7</v>
      </c>
      <c r="E133" s="10">
        <v>5.7</v>
      </c>
      <c r="G133" t="s">
        <v>232</v>
      </c>
      <c r="H133" s="1">
        <v>126567</v>
      </c>
      <c r="I133" s="6" t="e">
        <f t="shared" si="38"/>
        <v>#VALUE!</v>
      </c>
      <c r="J133" s="6" t="e">
        <f t="shared" si="39"/>
        <v>#VALUE!</v>
      </c>
      <c r="K133" s="5" t="e">
        <f t="shared" si="32"/>
        <v>#VALUE!</v>
      </c>
      <c r="L133" s="5" t="e">
        <f t="shared" si="33"/>
        <v>#VALUE!</v>
      </c>
      <c r="M133" s="3"/>
      <c r="N133" s="3">
        <v>96.15</v>
      </c>
      <c r="O133" s="11">
        <v>316.27999999999997</v>
      </c>
      <c r="P133" s="7">
        <f t="shared" si="40"/>
        <v>96.15</v>
      </c>
      <c r="Q133" s="7">
        <f t="shared" si="41"/>
        <v>220.12999999999997</v>
      </c>
      <c r="R133" s="5" t="e">
        <f t="shared" si="34"/>
        <v>#DIV/0!</v>
      </c>
      <c r="S133" s="5">
        <f t="shared" si="35"/>
        <v>2.2894435777431092</v>
      </c>
      <c r="U133">
        <v>1945693</v>
      </c>
      <c r="V133" s="1">
        <f>VLOOKUP(A133,[2]Sheet1!$A:$B,2,0)</f>
        <v>31628041</v>
      </c>
      <c r="W133" s="6">
        <f t="shared" si="42"/>
        <v>1945693</v>
      </c>
      <c r="X133" s="6">
        <f t="shared" si="43"/>
        <v>29682348</v>
      </c>
      <c r="Y133" s="5" t="e">
        <f t="shared" si="36"/>
        <v>#DIV/0!</v>
      </c>
      <c r="Z133" s="5">
        <f t="shared" si="37"/>
        <v>15.255411824989862</v>
      </c>
      <c r="AA133" s="9">
        <v>-3025000</v>
      </c>
      <c r="AB133" s="10">
        <v>-3415000</v>
      </c>
      <c r="AD133">
        <v>2476</v>
      </c>
      <c r="AE133" s="1">
        <v>2706</v>
      </c>
      <c r="AF133" s="6">
        <f t="shared" si="44"/>
        <v>2476</v>
      </c>
      <c r="AG133" s="6">
        <f t="shared" si="45"/>
        <v>230</v>
      </c>
      <c r="AH133" s="5" t="e">
        <f t="shared" si="46"/>
        <v>#DIV/0!</v>
      </c>
      <c r="AI133" s="5">
        <f t="shared" si="47"/>
        <v>9.289176090468497E-2</v>
      </c>
    </row>
    <row r="134" spans="1:35" x14ac:dyDescent="0.25">
      <c r="A134" s="2" t="s">
        <v>135</v>
      </c>
      <c r="B134" t="s">
        <v>215</v>
      </c>
      <c r="C134" t="e">
        <f>VLOOKUP(A134,[1]FO!$A$2:$A$69,2,0)</f>
        <v>#N/A</v>
      </c>
      <c r="D134" s="4" t="e">
        <v>#N/A</v>
      </c>
      <c r="E134" s="10" t="e">
        <v>#N/A</v>
      </c>
      <c r="G134" t="s">
        <v>235</v>
      </c>
      <c r="H134" s="1">
        <v>1953</v>
      </c>
      <c r="I134" s="6" t="e">
        <f t="shared" si="38"/>
        <v>#VALUE!</v>
      </c>
      <c r="J134" s="6" t="e">
        <f t="shared" si="39"/>
        <v>#VALUE!</v>
      </c>
      <c r="K134" s="5" t="e">
        <f t="shared" si="32"/>
        <v>#VALUE!</v>
      </c>
      <c r="L134" s="5" t="e">
        <f t="shared" si="33"/>
        <v>#VALUE!</v>
      </c>
      <c r="M134" s="3"/>
      <c r="N134" s="3" t="e">
        <v>#N/A</v>
      </c>
      <c r="O134" s="11" t="e">
        <v>#N/A</v>
      </c>
      <c r="P134" s="7" t="e">
        <f t="shared" si="40"/>
        <v>#N/A</v>
      </c>
      <c r="Q134" s="7" t="e">
        <f t="shared" si="41"/>
        <v>#N/A</v>
      </c>
      <c r="R134" s="5" t="e">
        <f t="shared" si="34"/>
        <v>#N/A</v>
      </c>
      <c r="S134" s="5" t="e">
        <f t="shared" si="35"/>
        <v>#N/A</v>
      </c>
      <c r="U134" t="e">
        <v>#N/A</v>
      </c>
      <c r="V134" s="1" t="e">
        <f>VLOOKUP(A134,[2]Sheet1!$A:$B,2,0)</f>
        <v>#N/A</v>
      </c>
      <c r="W134" s="6" t="e">
        <f t="shared" si="42"/>
        <v>#N/A</v>
      </c>
      <c r="X134" s="6" t="e">
        <f t="shared" si="43"/>
        <v>#N/A</v>
      </c>
      <c r="Y134" s="5" t="e">
        <f t="shared" si="36"/>
        <v>#N/A</v>
      </c>
      <c r="Z134" s="5" t="e">
        <f t="shared" si="37"/>
        <v>#N/A</v>
      </c>
      <c r="AA134" s="9" t="e">
        <v>#N/A</v>
      </c>
      <c r="AB134" s="10" t="e">
        <v>#N/A</v>
      </c>
      <c r="AD134" t="e">
        <v>#N/A</v>
      </c>
      <c r="AE134" s="1" t="e">
        <v>#N/A</v>
      </c>
      <c r="AF134" s="6" t="e">
        <f t="shared" si="44"/>
        <v>#N/A</v>
      </c>
      <c r="AG134" s="6" t="e">
        <f t="shared" si="45"/>
        <v>#N/A</v>
      </c>
      <c r="AH134" s="5" t="e">
        <f t="shared" si="46"/>
        <v>#N/A</v>
      </c>
      <c r="AI134" s="5" t="e">
        <f t="shared" si="47"/>
        <v>#N/A</v>
      </c>
    </row>
    <row r="135" spans="1:35" x14ac:dyDescent="0.25">
      <c r="A135" s="2" t="s">
        <v>136</v>
      </c>
      <c r="B135" t="s">
        <v>215</v>
      </c>
      <c r="C135" t="e">
        <f>VLOOKUP(A135,[1]FO!$A$2:$A$69,2,0)</f>
        <v>#N/A</v>
      </c>
      <c r="D135" s="4" t="e">
        <v>#N/A</v>
      </c>
      <c r="E135" s="10" t="e">
        <v>#N/A</v>
      </c>
      <c r="G135" t="s">
        <v>232</v>
      </c>
      <c r="H135" s="1">
        <v>2122</v>
      </c>
      <c r="I135" s="6" t="e">
        <f t="shared" si="38"/>
        <v>#VALUE!</v>
      </c>
      <c r="J135" s="6" t="e">
        <f t="shared" si="39"/>
        <v>#VALUE!</v>
      </c>
      <c r="K135" s="5" t="e">
        <f t="shared" si="32"/>
        <v>#VALUE!</v>
      </c>
      <c r="L135" s="5" t="e">
        <f t="shared" si="33"/>
        <v>#VALUE!</v>
      </c>
      <c r="M135" s="3"/>
      <c r="N135" s="3" t="e">
        <v>#N/A</v>
      </c>
      <c r="O135" s="11" t="e">
        <v>#N/A</v>
      </c>
      <c r="P135" s="7" t="e">
        <f t="shared" si="40"/>
        <v>#N/A</v>
      </c>
      <c r="Q135" s="7" t="e">
        <f t="shared" si="41"/>
        <v>#N/A</v>
      </c>
      <c r="R135" s="5" t="e">
        <f t="shared" si="34"/>
        <v>#N/A</v>
      </c>
      <c r="S135" s="5" t="e">
        <f t="shared" si="35"/>
        <v>#N/A</v>
      </c>
      <c r="U135">
        <v>5182738</v>
      </c>
      <c r="V135" s="1">
        <f>VLOOKUP(A135,[2]Sheet1!$A:$B,2,0)</f>
        <v>1553107</v>
      </c>
      <c r="W135" s="6">
        <f t="shared" si="42"/>
        <v>5182738</v>
      </c>
      <c r="X135" s="6">
        <f t="shared" si="43"/>
        <v>-3629631</v>
      </c>
      <c r="Y135" s="5" t="e">
        <f t="shared" si="36"/>
        <v>#DIV/0!</v>
      </c>
      <c r="Z135" s="5">
        <f t="shared" si="37"/>
        <v>-0.70033079040460855</v>
      </c>
      <c r="AA135" s="9" t="e">
        <v>#N/A</v>
      </c>
      <c r="AB135" s="10" t="e">
        <v>#N/A</v>
      </c>
      <c r="AD135" t="e">
        <v>#N/A</v>
      </c>
      <c r="AE135" s="1" t="e">
        <v>#N/A</v>
      </c>
      <c r="AF135" s="6" t="e">
        <f t="shared" si="44"/>
        <v>#N/A</v>
      </c>
      <c r="AG135" s="6" t="e">
        <f t="shared" si="45"/>
        <v>#N/A</v>
      </c>
      <c r="AH135" s="5" t="e">
        <f t="shared" si="46"/>
        <v>#N/A</v>
      </c>
      <c r="AI135" s="5" t="e">
        <f t="shared" si="47"/>
        <v>#N/A</v>
      </c>
    </row>
    <row r="136" spans="1:35" x14ac:dyDescent="0.25">
      <c r="A136" s="2" t="s">
        <v>137</v>
      </c>
      <c r="B136" t="s">
        <v>215</v>
      </c>
      <c r="C136" t="e">
        <f>VLOOKUP(A136,[1]FO!$A$2:$A$69,2,0)</f>
        <v>#N/A</v>
      </c>
      <c r="D136" s="4" t="e">
        <v>#N/A</v>
      </c>
      <c r="E136" s="10" t="e">
        <v>#N/A</v>
      </c>
      <c r="G136" t="s">
        <v>232</v>
      </c>
      <c r="H136" s="1">
        <v>20070</v>
      </c>
      <c r="I136" s="6" t="e">
        <f t="shared" si="38"/>
        <v>#VALUE!</v>
      </c>
      <c r="J136" s="6" t="e">
        <f t="shared" si="39"/>
        <v>#VALUE!</v>
      </c>
      <c r="K136" s="5" t="e">
        <f t="shared" si="32"/>
        <v>#VALUE!</v>
      </c>
      <c r="L136" s="5" t="e">
        <f t="shared" si="33"/>
        <v>#VALUE!</v>
      </c>
      <c r="M136" s="3"/>
      <c r="N136" s="3" t="e">
        <v>#N/A</v>
      </c>
      <c r="O136" s="11" t="e">
        <v>#N/A</v>
      </c>
      <c r="P136" s="7" t="e">
        <f t="shared" si="40"/>
        <v>#N/A</v>
      </c>
      <c r="Q136" s="7" t="e">
        <f t="shared" si="41"/>
        <v>#N/A</v>
      </c>
      <c r="R136" s="5" t="e">
        <f t="shared" si="34"/>
        <v>#N/A</v>
      </c>
      <c r="S136" s="5" t="e">
        <f t="shared" si="35"/>
        <v>#N/A</v>
      </c>
      <c r="U136">
        <v>703427</v>
      </c>
      <c r="V136" s="1">
        <f>VLOOKUP(A136,[2]Sheet1!$A:$B,2,0)</f>
        <v>4349174</v>
      </c>
      <c r="W136" s="6">
        <f t="shared" si="42"/>
        <v>703427</v>
      </c>
      <c r="X136" s="6">
        <f t="shared" si="43"/>
        <v>3645747</v>
      </c>
      <c r="Y136" s="5" t="e">
        <f t="shared" si="36"/>
        <v>#DIV/0!</v>
      </c>
      <c r="Z136" s="5">
        <f t="shared" si="37"/>
        <v>5.1828363142159741</v>
      </c>
      <c r="AA136" s="9" t="e">
        <v>#N/A</v>
      </c>
      <c r="AB136" s="10" t="e">
        <v>#N/A</v>
      </c>
      <c r="AD136" t="e">
        <v>#N/A</v>
      </c>
      <c r="AE136" s="1" t="e">
        <v>#N/A</v>
      </c>
      <c r="AF136" s="6" t="e">
        <f t="shared" si="44"/>
        <v>#N/A</v>
      </c>
      <c r="AG136" s="6" t="e">
        <f t="shared" si="45"/>
        <v>#N/A</v>
      </c>
      <c r="AH136" s="5" t="e">
        <f t="shared" si="46"/>
        <v>#N/A</v>
      </c>
      <c r="AI136" s="5" t="e">
        <f t="shared" si="47"/>
        <v>#N/A</v>
      </c>
    </row>
    <row r="137" spans="1:35" x14ac:dyDescent="0.25">
      <c r="A137" s="2" t="s">
        <v>138</v>
      </c>
      <c r="B137" t="s">
        <v>215</v>
      </c>
      <c r="C137" t="e">
        <f>VLOOKUP(A137,[1]FO!$A$2:$A$69,2,0)</f>
        <v>#N/A</v>
      </c>
      <c r="D137" s="4">
        <v>4.1500000000000004</v>
      </c>
      <c r="E137" s="10">
        <v>17.899999999999999</v>
      </c>
      <c r="G137" t="s">
        <v>232</v>
      </c>
      <c r="H137" s="1">
        <v>102951</v>
      </c>
      <c r="I137" s="6" t="e">
        <f t="shared" si="38"/>
        <v>#VALUE!</v>
      </c>
      <c r="J137" s="6" t="e">
        <f t="shared" si="39"/>
        <v>#VALUE!</v>
      </c>
      <c r="K137" s="5" t="e">
        <f t="shared" si="32"/>
        <v>#VALUE!</v>
      </c>
      <c r="L137" s="5" t="e">
        <f t="shared" si="33"/>
        <v>#VALUE!</v>
      </c>
      <c r="M137" s="3"/>
      <c r="N137" s="3">
        <v>188.7</v>
      </c>
      <c r="O137" s="11">
        <v>160.24</v>
      </c>
      <c r="P137" s="7">
        <f t="shared" si="40"/>
        <v>188.7</v>
      </c>
      <c r="Q137" s="7">
        <f t="shared" si="41"/>
        <v>-28.45999999999998</v>
      </c>
      <c r="R137" s="5" t="e">
        <f t="shared" si="34"/>
        <v>#DIV/0!</v>
      </c>
      <c r="S137" s="5">
        <f t="shared" si="35"/>
        <v>-0.15082140964493895</v>
      </c>
      <c r="U137">
        <v>1332920</v>
      </c>
      <c r="V137" s="1">
        <f>VLOOKUP(A137,[2]Sheet1!$A:$B,2,0)</f>
        <v>16023589</v>
      </c>
      <c r="W137" s="6">
        <f t="shared" si="42"/>
        <v>1332920</v>
      </c>
      <c r="X137" s="6">
        <f t="shared" si="43"/>
        <v>14690669</v>
      </c>
      <c r="Y137" s="5" t="e">
        <f t="shared" si="36"/>
        <v>#DIV/0!</v>
      </c>
      <c r="Z137" s="5">
        <f t="shared" si="37"/>
        <v>11.021418389700807</v>
      </c>
      <c r="AA137" s="9">
        <v>-5356700</v>
      </c>
      <c r="AB137" s="10">
        <v>-2392000</v>
      </c>
      <c r="AD137">
        <v>4726</v>
      </c>
      <c r="AE137" s="1">
        <v>3678</v>
      </c>
      <c r="AF137" s="6">
        <f t="shared" si="44"/>
        <v>4726</v>
      </c>
      <c r="AG137" s="6">
        <f t="shared" si="45"/>
        <v>-1048</v>
      </c>
      <c r="AH137" s="5" t="e">
        <f t="shared" si="46"/>
        <v>#DIV/0!</v>
      </c>
      <c r="AI137" s="5">
        <f t="shared" si="47"/>
        <v>-0.22175201015658061</v>
      </c>
    </row>
    <row r="138" spans="1:35" x14ac:dyDescent="0.25">
      <c r="A138" s="2" t="s">
        <v>139</v>
      </c>
      <c r="B138" t="s">
        <v>215</v>
      </c>
      <c r="C138" t="e">
        <f>VLOOKUP(A138,[1]FO!$A$2:$A$69,2,0)</f>
        <v>#N/A</v>
      </c>
      <c r="D138" s="4">
        <v>29.75</v>
      </c>
      <c r="E138" s="10">
        <v>63.5</v>
      </c>
      <c r="G138" t="s">
        <v>232</v>
      </c>
      <c r="H138" s="1">
        <v>74289</v>
      </c>
      <c r="I138" s="6" t="e">
        <f t="shared" si="38"/>
        <v>#VALUE!</v>
      </c>
      <c r="J138" s="6" t="e">
        <f t="shared" si="39"/>
        <v>#VALUE!</v>
      </c>
      <c r="K138" s="5" t="e">
        <f t="shared" si="32"/>
        <v>#VALUE!</v>
      </c>
      <c r="L138" s="5" t="e">
        <f t="shared" si="33"/>
        <v>#VALUE!</v>
      </c>
      <c r="M138" s="3"/>
      <c r="N138" s="3">
        <v>1647</v>
      </c>
      <c r="O138" s="11">
        <v>17.059999999999999</v>
      </c>
      <c r="P138" s="7">
        <f t="shared" si="40"/>
        <v>1647</v>
      </c>
      <c r="Q138" s="7">
        <f t="shared" si="41"/>
        <v>-1629.94</v>
      </c>
      <c r="R138" s="5" t="e">
        <f t="shared" si="34"/>
        <v>#DIV/0!</v>
      </c>
      <c r="S138" s="5">
        <f t="shared" si="35"/>
        <v>-0.98964177292046152</v>
      </c>
      <c r="U138">
        <v>304433</v>
      </c>
      <c r="V138" s="1">
        <f>VLOOKUP(A138,[2]Sheet1!$A:$B,2,0)</f>
        <v>1705977</v>
      </c>
      <c r="W138" s="6">
        <f t="shared" si="42"/>
        <v>304433</v>
      </c>
      <c r="X138" s="6">
        <f t="shared" si="43"/>
        <v>1401544</v>
      </c>
      <c r="Y138" s="5" t="e">
        <f t="shared" si="36"/>
        <v>#DIV/0!</v>
      </c>
      <c r="Z138" s="5">
        <f t="shared" si="37"/>
        <v>4.60378474081325</v>
      </c>
      <c r="AA138" s="9">
        <v>-499500</v>
      </c>
      <c r="AB138" s="10">
        <v>-291500</v>
      </c>
      <c r="AD138">
        <v>5041</v>
      </c>
      <c r="AE138" s="1">
        <v>2608</v>
      </c>
      <c r="AF138" s="6">
        <f t="shared" si="44"/>
        <v>5041</v>
      </c>
      <c r="AG138" s="6">
        <f t="shared" si="45"/>
        <v>-2433</v>
      </c>
      <c r="AH138" s="5" t="e">
        <f t="shared" si="46"/>
        <v>#DIV/0!</v>
      </c>
      <c r="AI138" s="5">
        <f t="shared" si="47"/>
        <v>-0.48264233287046221</v>
      </c>
    </row>
    <row r="139" spans="1:35" x14ac:dyDescent="0.25">
      <c r="A139" s="2" t="s">
        <v>140</v>
      </c>
      <c r="B139" t="s">
        <v>215</v>
      </c>
      <c r="C139" t="e">
        <f>VLOOKUP(A139,[1]FO!$A$2:$A$69,2,0)</f>
        <v>#N/A</v>
      </c>
      <c r="D139" s="4">
        <v>5.45</v>
      </c>
      <c r="E139" s="10">
        <v>12.5</v>
      </c>
      <c r="G139" t="s">
        <v>232</v>
      </c>
      <c r="H139" s="1">
        <v>143909</v>
      </c>
      <c r="I139" s="6" t="e">
        <f t="shared" si="38"/>
        <v>#VALUE!</v>
      </c>
      <c r="J139" s="6" t="e">
        <f t="shared" si="39"/>
        <v>#VALUE!</v>
      </c>
      <c r="K139" s="5" t="e">
        <f t="shared" si="32"/>
        <v>#VALUE!</v>
      </c>
      <c r="L139" s="5" t="e">
        <f t="shared" si="33"/>
        <v>#VALUE!</v>
      </c>
      <c r="M139" s="3"/>
      <c r="N139" s="3">
        <v>425</v>
      </c>
      <c r="O139" s="11">
        <v>85.9</v>
      </c>
      <c r="P139" s="7">
        <f t="shared" si="40"/>
        <v>425</v>
      </c>
      <c r="Q139" s="7">
        <f t="shared" si="41"/>
        <v>-339.1</v>
      </c>
      <c r="R139" s="5" t="e">
        <f t="shared" si="34"/>
        <v>#DIV/0!</v>
      </c>
      <c r="S139" s="5">
        <f t="shared" si="35"/>
        <v>-0.79788235294117649</v>
      </c>
      <c r="U139">
        <v>342622</v>
      </c>
      <c r="V139" s="1">
        <f>VLOOKUP(A139,[2]Sheet1!$A:$B,2,0)</f>
        <v>8589800</v>
      </c>
      <c r="W139" s="6">
        <f t="shared" si="42"/>
        <v>342622</v>
      </c>
      <c r="X139" s="6">
        <f t="shared" si="43"/>
        <v>8247178</v>
      </c>
      <c r="Y139" s="5" t="e">
        <f t="shared" si="36"/>
        <v>#DIV/0!</v>
      </c>
      <c r="Z139" s="5">
        <f t="shared" si="37"/>
        <v>24.07077770837833</v>
      </c>
      <c r="AA139" s="9">
        <v>-46200</v>
      </c>
      <c r="AB139" s="10">
        <v>-408800</v>
      </c>
      <c r="AD139">
        <v>4055</v>
      </c>
      <c r="AE139" s="1">
        <v>2527</v>
      </c>
      <c r="AF139" s="6">
        <f t="shared" si="44"/>
        <v>4055</v>
      </c>
      <c r="AG139" s="6">
        <f t="shared" si="45"/>
        <v>-1528</v>
      </c>
      <c r="AH139" s="5" t="e">
        <f t="shared" si="46"/>
        <v>#DIV/0!</v>
      </c>
      <c r="AI139" s="5">
        <f t="shared" si="47"/>
        <v>-0.37681874229346485</v>
      </c>
    </row>
    <row r="140" spans="1:35" x14ac:dyDescent="0.25">
      <c r="A140" s="2" t="s">
        <v>141</v>
      </c>
      <c r="B140" t="s">
        <v>215</v>
      </c>
      <c r="C140" t="e">
        <f>VLOOKUP(A140,[1]FO!$A$2:$A$69,2,0)</f>
        <v>#N/A</v>
      </c>
      <c r="D140" s="4" t="e">
        <v>#N/A</v>
      </c>
      <c r="E140" s="10" t="e">
        <v>#N/A</v>
      </c>
      <c r="G140" t="s">
        <v>232</v>
      </c>
      <c r="H140" s="1">
        <v>108506</v>
      </c>
      <c r="I140" s="6" t="e">
        <f t="shared" si="38"/>
        <v>#VALUE!</v>
      </c>
      <c r="J140" s="6" t="e">
        <f t="shared" si="39"/>
        <v>#VALUE!</v>
      </c>
      <c r="K140" s="5" t="e">
        <f t="shared" si="32"/>
        <v>#VALUE!</v>
      </c>
      <c r="L140" s="5" t="e">
        <f t="shared" si="33"/>
        <v>#VALUE!</v>
      </c>
      <c r="M140" s="3"/>
      <c r="N140" s="3" t="e">
        <v>#N/A</v>
      </c>
      <c r="O140" s="11" t="e">
        <v>#N/A</v>
      </c>
      <c r="P140" s="7" t="e">
        <f t="shared" si="40"/>
        <v>#N/A</v>
      </c>
      <c r="Q140" s="7" t="e">
        <f t="shared" si="41"/>
        <v>#N/A</v>
      </c>
      <c r="R140" s="5" t="e">
        <f t="shared" si="34"/>
        <v>#N/A</v>
      </c>
      <c r="S140" s="5" t="e">
        <f t="shared" si="35"/>
        <v>#N/A</v>
      </c>
      <c r="U140">
        <v>163638</v>
      </c>
      <c r="V140" s="1">
        <f>VLOOKUP(A140,[2]Sheet1!$A:$B,2,0)</f>
        <v>3464620</v>
      </c>
      <c r="W140" s="6">
        <f t="shared" si="42"/>
        <v>163638</v>
      </c>
      <c r="X140" s="6">
        <f t="shared" si="43"/>
        <v>3300982</v>
      </c>
      <c r="Y140" s="5" t="e">
        <f t="shared" si="36"/>
        <v>#DIV/0!</v>
      </c>
      <c r="Z140" s="5">
        <f t="shared" si="37"/>
        <v>20.172466053117247</v>
      </c>
      <c r="AA140" s="9" t="e">
        <v>#N/A</v>
      </c>
      <c r="AB140" s="10" t="e">
        <v>#N/A</v>
      </c>
      <c r="AD140" t="e">
        <v>#N/A</v>
      </c>
      <c r="AE140" s="1" t="e">
        <v>#N/A</v>
      </c>
      <c r="AF140" s="6" t="e">
        <f t="shared" si="44"/>
        <v>#N/A</v>
      </c>
      <c r="AG140" s="6" t="e">
        <f t="shared" si="45"/>
        <v>#N/A</v>
      </c>
      <c r="AH140" s="5" t="e">
        <f t="shared" si="46"/>
        <v>#N/A</v>
      </c>
      <c r="AI140" s="5" t="e">
        <f t="shared" si="47"/>
        <v>#N/A</v>
      </c>
    </row>
    <row r="141" spans="1:35" x14ac:dyDescent="0.25">
      <c r="A141" s="2" t="s">
        <v>142</v>
      </c>
      <c r="B141" t="s">
        <v>215</v>
      </c>
      <c r="C141" t="e">
        <f>VLOOKUP(A141,[1]FO!$A$2:$A$69,2,0)</f>
        <v>#N/A</v>
      </c>
      <c r="D141" s="4" t="e">
        <v>#N/A</v>
      </c>
      <c r="E141" s="10" t="e">
        <v>#N/A</v>
      </c>
      <c r="G141" t="e">
        <v>#N/A</v>
      </c>
      <c r="H141" s="1" t="e">
        <v>#N/A</v>
      </c>
      <c r="I141" s="6" t="e">
        <f t="shared" si="38"/>
        <v>#N/A</v>
      </c>
      <c r="J141" s="6" t="e">
        <f t="shared" si="39"/>
        <v>#N/A</v>
      </c>
      <c r="K141" s="5" t="e">
        <f t="shared" si="32"/>
        <v>#N/A</v>
      </c>
      <c r="L141" s="5" t="e">
        <f t="shared" si="33"/>
        <v>#N/A</v>
      </c>
      <c r="M141" s="3"/>
      <c r="N141" s="3" t="e">
        <v>#N/A</v>
      </c>
      <c r="O141" s="11" t="e">
        <v>#N/A</v>
      </c>
      <c r="P141" s="7" t="e">
        <f t="shared" si="40"/>
        <v>#N/A</v>
      </c>
      <c r="Q141" s="7" t="e">
        <f t="shared" si="41"/>
        <v>#N/A</v>
      </c>
      <c r="R141" s="5" t="e">
        <f t="shared" si="34"/>
        <v>#N/A</v>
      </c>
      <c r="S141" s="5" t="e">
        <f t="shared" si="35"/>
        <v>#N/A</v>
      </c>
      <c r="U141" t="e">
        <v>#N/A</v>
      </c>
      <c r="V141" s="1" t="e">
        <f>VLOOKUP(A141,[2]Sheet1!$A:$B,2,0)</f>
        <v>#N/A</v>
      </c>
      <c r="W141" s="6" t="e">
        <f t="shared" si="42"/>
        <v>#N/A</v>
      </c>
      <c r="X141" s="6" t="e">
        <f t="shared" si="43"/>
        <v>#N/A</v>
      </c>
      <c r="Y141" s="5" t="e">
        <f t="shared" si="36"/>
        <v>#N/A</v>
      </c>
      <c r="Z141" s="5" t="e">
        <f t="shared" si="37"/>
        <v>#N/A</v>
      </c>
      <c r="AA141" s="9" t="e">
        <v>#N/A</v>
      </c>
      <c r="AB141" s="10" t="e">
        <v>#N/A</v>
      </c>
      <c r="AD141" t="e">
        <v>#N/A</v>
      </c>
      <c r="AE141" s="1" t="e">
        <v>#N/A</v>
      </c>
      <c r="AF141" s="6" t="e">
        <f t="shared" si="44"/>
        <v>#N/A</v>
      </c>
      <c r="AG141" s="6" t="e">
        <f t="shared" si="45"/>
        <v>#N/A</v>
      </c>
      <c r="AH141" s="5" t="e">
        <f t="shared" si="46"/>
        <v>#N/A</v>
      </c>
      <c r="AI141" s="5" t="e">
        <f t="shared" si="47"/>
        <v>#N/A</v>
      </c>
    </row>
    <row r="142" spans="1:35" x14ac:dyDescent="0.25">
      <c r="A142" s="2" t="s">
        <v>143</v>
      </c>
      <c r="B142" t="s">
        <v>215</v>
      </c>
      <c r="C142" t="e">
        <f>VLOOKUP(A142,[1]FO!$A$2:$A$69,2,0)</f>
        <v>#N/A</v>
      </c>
      <c r="D142" s="4" t="e">
        <v>#N/A</v>
      </c>
      <c r="E142" s="10" t="e">
        <v>#N/A</v>
      </c>
      <c r="G142" t="s">
        <v>232</v>
      </c>
      <c r="H142" s="1">
        <v>7302</v>
      </c>
      <c r="I142" s="6" t="e">
        <f t="shared" si="38"/>
        <v>#VALUE!</v>
      </c>
      <c r="J142" s="6" t="e">
        <f t="shared" si="39"/>
        <v>#VALUE!</v>
      </c>
      <c r="K142" s="5" t="e">
        <f t="shared" si="32"/>
        <v>#VALUE!</v>
      </c>
      <c r="L142" s="5" t="e">
        <f t="shared" si="33"/>
        <v>#VALUE!</v>
      </c>
      <c r="M142" s="3"/>
      <c r="N142" s="3" t="e">
        <v>#N/A</v>
      </c>
      <c r="O142" s="11" t="e">
        <v>#N/A</v>
      </c>
      <c r="P142" s="7" t="e">
        <f t="shared" si="40"/>
        <v>#N/A</v>
      </c>
      <c r="Q142" s="7" t="e">
        <f t="shared" si="41"/>
        <v>#N/A</v>
      </c>
      <c r="R142" s="5" t="e">
        <f t="shared" si="34"/>
        <v>#N/A</v>
      </c>
      <c r="S142" s="5" t="e">
        <f t="shared" si="35"/>
        <v>#N/A</v>
      </c>
      <c r="U142">
        <v>61961</v>
      </c>
      <c r="V142" s="1">
        <f>VLOOKUP(A142,[2]Sheet1!$A:$B,2,0)</f>
        <v>160311</v>
      </c>
      <c r="W142" s="6">
        <f t="shared" si="42"/>
        <v>61961</v>
      </c>
      <c r="X142" s="6">
        <f t="shared" si="43"/>
        <v>98350</v>
      </c>
      <c r="Y142" s="5" t="e">
        <f t="shared" si="36"/>
        <v>#DIV/0!</v>
      </c>
      <c r="Z142" s="5">
        <f t="shared" si="37"/>
        <v>1.5872887784251384</v>
      </c>
      <c r="AA142" s="9" t="e">
        <v>#N/A</v>
      </c>
      <c r="AB142" s="10" t="e">
        <v>#N/A</v>
      </c>
      <c r="AD142" t="e">
        <v>#N/A</v>
      </c>
      <c r="AE142" s="1" t="e">
        <v>#N/A</v>
      </c>
      <c r="AF142" s="6" t="e">
        <f t="shared" si="44"/>
        <v>#N/A</v>
      </c>
      <c r="AG142" s="6" t="e">
        <f t="shared" si="45"/>
        <v>#N/A</v>
      </c>
      <c r="AH142" s="5" t="e">
        <f t="shared" si="46"/>
        <v>#N/A</v>
      </c>
      <c r="AI142" s="5" t="e">
        <f t="shared" si="47"/>
        <v>#N/A</v>
      </c>
    </row>
    <row r="143" spans="1:35" x14ac:dyDescent="0.25">
      <c r="A143" s="2" t="s">
        <v>144</v>
      </c>
      <c r="B143" t="s">
        <v>215</v>
      </c>
      <c r="C143" t="e">
        <f>VLOOKUP(A143,[1]FO!$A$2:$A$69,2,0)</f>
        <v>#N/A</v>
      </c>
      <c r="D143" s="4" t="e">
        <v>#N/A</v>
      </c>
      <c r="E143" s="10" t="e">
        <v>#N/A</v>
      </c>
      <c r="G143" t="s">
        <v>232</v>
      </c>
      <c r="H143" s="1">
        <v>9123</v>
      </c>
      <c r="I143" s="6" t="e">
        <f t="shared" si="38"/>
        <v>#VALUE!</v>
      </c>
      <c r="J143" s="6" t="e">
        <f t="shared" si="39"/>
        <v>#VALUE!</v>
      </c>
      <c r="K143" s="5" t="e">
        <f t="shared" si="32"/>
        <v>#VALUE!</v>
      </c>
      <c r="L143" s="5" t="e">
        <f t="shared" si="33"/>
        <v>#VALUE!</v>
      </c>
      <c r="M143" s="3"/>
      <c r="N143" s="3" t="e">
        <v>#N/A</v>
      </c>
      <c r="O143" s="11" t="e">
        <v>#N/A</v>
      </c>
      <c r="P143" s="7" t="e">
        <f t="shared" si="40"/>
        <v>#N/A</v>
      </c>
      <c r="Q143" s="7" t="e">
        <f t="shared" si="41"/>
        <v>#N/A</v>
      </c>
      <c r="R143" s="5" t="e">
        <f t="shared" si="34"/>
        <v>#N/A</v>
      </c>
      <c r="S143" s="5" t="e">
        <f t="shared" si="35"/>
        <v>#N/A</v>
      </c>
      <c r="U143">
        <v>819999</v>
      </c>
      <c r="V143" s="1">
        <f>VLOOKUP(A143,[2]Sheet1!$A:$B,2,0)</f>
        <v>2260354</v>
      </c>
      <c r="W143" s="6">
        <f t="shared" si="42"/>
        <v>819999</v>
      </c>
      <c r="X143" s="6">
        <f t="shared" si="43"/>
        <v>1440355</v>
      </c>
      <c r="Y143" s="5" t="e">
        <f t="shared" si="36"/>
        <v>#DIV/0!</v>
      </c>
      <c r="Z143" s="5">
        <f t="shared" si="37"/>
        <v>1.7565326299178414</v>
      </c>
      <c r="AA143" s="9" t="e">
        <v>#N/A</v>
      </c>
      <c r="AB143" s="10" t="e">
        <v>#N/A</v>
      </c>
      <c r="AD143" t="e">
        <v>#N/A</v>
      </c>
      <c r="AE143" s="1" t="e">
        <v>#N/A</v>
      </c>
      <c r="AF143" s="6" t="e">
        <f t="shared" si="44"/>
        <v>#N/A</v>
      </c>
      <c r="AG143" s="6" t="e">
        <f t="shared" si="45"/>
        <v>#N/A</v>
      </c>
      <c r="AH143" s="5" t="e">
        <f t="shared" si="46"/>
        <v>#N/A</v>
      </c>
      <c r="AI143" s="5" t="e">
        <f t="shared" si="47"/>
        <v>#N/A</v>
      </c>
    </row>
    <row r="144" spans="1:35" x14ac:dyDescent="0.25">
      <c r="A144" s="2" t="s">
        <v>145</v>
      </c>
      <c r="B144" t="s">
        <v>215</v>
      </c>
      <c r="C144" t="e">
        <f>VLOOKUP(A144,[1]FO!$A$2:$A$69,2,0)</f>
        <v>#N/A</v>
      </c>
      <c r="D144" s="4">
        <v>0.1</v>
      </c>
      <c r="E144" s="10">
        <v>1.05</v>
      </c>
      <c r="G144" t="s">
        <v>232</v>
      </c>
      <c r="H144" s="1">
        <v>49516</v>
      </c>
      <c r="I144" s="6" t="e">
        <f t="shared" si="38"/>
        <v>#VALUE!</v>
      </c>
      <c r="J144" s="6" t="e">
        <f t="shared" si="39"/>
        <v>#VALUE!</v>
      </c>
      <c r="K144" s="5" t="e">
        <f t="shared" si="32"/>
        <v>#VALUE!</v>
      </c>
      <c r="L144" s="5" t="e">
        <f t="shared" si="33"/>
        <v>#VALUE!</v>
      </c>
      <c r="M144" s="3"/>
      <c r="N144" s="3">
        <v>67.5</v>
      </c>
      <c r="O144" s="11">
        <v>143</v>
      </c>
      <c r="P144" s="7">
        <f t="shared" si="40"/>
        <v>67.5</v>
      </c>
      <c r="Q144" s="7">
        <f t="shared" si="41"/>
        <v>75.5</v>
      </c>
      <c r="R144" s="5" t="e">
        <f t="shared" si="34"/>
        <v>#DIV/0!</v>
      </c>
      <c r="S144" s="5">
        <f t="shared" si="35"/>
        <v>1.1185185185185185</v>
      </c>
      <c r="U144">
        <v>3312821</v>
      </c>
      <c r="V144" s="1">
        <f>VLOOKUP(A144,[2]Sheet1!$A:$B,2,0)</f>
        <v>14299685</v>
      </c>
      <c r="W144" s="6">
        <f t="shared" si="42"/>
        <v>3312821</v>
      </c>
      <c r="X144" s="6">
        <f t="shared" si="43"/>
        <v>10986864</v>
      </c>
      <c r="Y144" s="5" t="e">
        <f t="shared" si="36"/>
        <v>#DIV/0!</v>
      </c>
      <c r="Z144" s="5">
        <f t="shared" si="37"/>
        <v>3.3164677475782725</v>
      </c>
      <c r="AA144" s="9">
        <v>-7403200</v>
      </c>
      <c r="AB144" s="10">
        <v>-2900800</v>
      </c>
      <c r="AD144">
        <v>5357</v>
      </c>
      <c r="AE144" s="1">
        <v>1755</v>
      </c>
      <c r="AF144" s="6">
        <f t="shared" si="44"/>
        <v>5357</v>
      </c>
      <c r="AG144" s="6">
        <f t="shared" si="45"/>
        <v>-3602</v>
      </c>
      <c r="AH144" s="5" t="e">
        <f t="shared" si="46"/>
        <v>#DIV/0!</v>
      </c>
      <c r="AI144" s="5">
        <f t="shared" si="47"/>
        <v>-0.67239126376703384</v>
      </c>
    </row>
    <row r="145" spans="1:35" x14ac:dyDescent="0.25">
      <c r="A145" s="2" t="s">
        <v>146</v>
      </c>
      <c r="B145" t="s">
        <v>215</v>
      </c>
      <c r="C145" t="e">
        <f>VLOOKUP(A145,[1]FO!$A$2:$A$69,2,0)</f>
        <v>#N/A</v>
      </c>
      <c r="D145" s="4">
        <v>6.7</v>
      </c>
      <c r="E145" s="10">
        <v>-1.35</v>
      </c>
      <c r="G145" t="s">
        <v>232</v>
      </c>
      <c r="H145" s="1">
        <v>71213</v>
      </c>
      <c r="I145" s="6" t="e">
        <f t="shared" si="38"/>
        <v>#VALUE!</v>
      </c>
      <c r="J145" s="6" t="e">
        <f t="shared" si="39"/>
        <v>#VALUE!</v>
      </c>
      <c r="K145" s="5" t="e">
        <f t="shared" si="32"/>
        <v>#VALUE!</v>
      </c>
      <c r="L145" s="5" t="e">
        <f t="shared" si="33"/>
        <v>#VALUE!</v>
      </c>
      <c r="M145" s="3"/>
      <c r="N145" s="3">
        <v>296.85000000000002</v>
      </c>
      <c r="O145" s="11">
        <v>70.400000000000006</v>
      </c>
      <c r="P145" s="7">
        <f t="shared" si="40"/>
        <v>296.85000000000002</v>
      </c>
      <c r="Q145" s="7">
        <f t="shared" si="41"/>
        <v>-226.45000000000002</v>
      </c>
      <c r="R145" s="5" t="e">
        <f t="shared" si="34"/>
        <v>#DIV/0!</v>
      </c>
      <c r="S145" s="5">
        <f t="shared" si="35"/>
        <v>-0.76284318679467744</v>
      </c>
      <c r="U145">
        <v>1430591</v>
      </c>
      <c r="V145" s="1">
        <f>VLOOKUP(A145,[2]Sheet1!$A:$B,2,0)</f>
        <v>7040200</v>
      </c>
      <c r="W145" s="6">
        <f t="shared" si="42"/>
        <v>1430591</v>
      </c>
      <c r="X145" s="6">
        <f t="shared" si="43"/>
        <v>5609609</v>
      </c>
      <c r="Y145" s="5" t="e">
        <f t="shared" si="36"/>
        <v>#DIV/0!</v>
      </c>
      <c r="Z145" s="5">
        <f t="shared" si="37"/>
        <v>3.9211829237007643</v>
      </c>
      <c r="AA145" s="9">
        <v>-1671800</v>
      </c>
      <c r="AB145" s="10">
        <v>-663000</v>
      </c>
      <c r="AD145">
        <v>8218</v>
      </c>
      <c r="AE145" s="1">
        <v>2332</v>
      </c>
      <c r="AF145" s="6">
        <f t="shared" si="44"/>
        <v>8218</v>
      </c>
      <c r="AG145" s="6">
        <f t="shared" si="45"/>
        <v>-5886</v>
      </c>
      <c r="AH145" s="5" t="e">
        <f t="shared" si="46"/>
        <v>#DIV/0!</v>
      </c>
      <c r="AI145" s="5">
        <f t="shared" si="47"/>
        <v>-0.71623266001460206</v>
      </c>
    </row>
    <row r="146" spans="1:35" x14ac:dyDescent="0.25">
      <c r="A146" s="2" t="s">
        <v>147</v>
      </c>
      <c r="B146" t="s">
        <v>215</v>
      </c>
      <c r="C146" t="e">
        <f>VLOOKUP(A146,[1]FO!$A$2:$A$69,2,0)</f>
        <v>#N/A</v>
      </c>
      <c r="D146" s="4">
        <v>2.65</v>
      </c>
      <c r="E146" s="10">
        <v>9.5500000000000007</v>
      </c>
      <c r="G146" t="s">
        <v>232</v>
      </c>
      <c r="H146" s="1">
        <v>111565</v>
      </c>
      <c r="I146" s="6" t="e">
        <f t="shared" si="38"/>
        <v>#VALUE!</v>
      </c>
      <c r="J146" s="6" t="e">
        <f t="shared" si="39"/>
        <v>#VALUE!</v>
      </c>
      <c r="K146" s="5" t="e">
        <f t="shared" si="32"/>
        <v>#VALUE!</v>
      </c>
      <c r="L146" s="5" t="e">
        <f t="shared" si="33"/>
        <v>#VALUE!</v>
      </c>
      <c r="M146" s="3"/>
      <c r="N146" s="3">
        <v>167.95</v>
      </c>
      <c r="O146" s="11">
        <v>126.39</v>
      </c>
      <c r="P146" s="7">
        <f t="shared" si="40"/>
        <v>167.95</v>
      </c>
      <c r="Q146" s="7">
        <f t="shared" si="41"/>
        <v>-41.559999999999988</v>
      </c>
      <c r="R146" s="5" t="e">
        <f t="shared" si="34"/>
        <v>#DIV/0!</v>
      </c>
      <c r="S146" s="5">
        <f t="shared" si="35"/>
        <v>-0.24745459958320923</v>
      </c>
      <c r="U146">
        <v>2615723</v>
      </c>
      <c r="V146" s="1">
        <f>VLOOKUP(A146,[2]Sheet1!$A:$B,2,0)</f>
        <v>12639407</v>
      </c>
      <c r="W146" s="6">
        <f t="shared" si="42"/>
        <v>2615723</v>
      </c>
      <c r="X146" s="6">
        <f t="shared" si="43"/>
        <v>10023684</v>
      </c>
      <c r="Y146" s="5" t="e">
        <f t="shared" si="36"/>
        <v>#DIV/0!</v>
      </c>
      <c r="Z146" s="5">
        <f t="shared" si="37"/>
        <v>3.8320892540991536</v>
      </c>
      <c r="AA146" s="9">
        <v>-3748800</v>
      </c>
      <c r="AB146" s="10">
        <v>-801600</v>
      </c>
      <c r="AD146">
        <v>7380</v>
      </c>
      <c r="AE146" s="1">
        <v>3545</v>
      </c>
      <c r="AF146" s="6">
        <f t="shared" si="44"/>
        <v>7380</v>
      </c>
      <c r="AG146" s="6">
        <f t="shared" si="45"/>
        <v>-3835</v>
      </c>
      <c r="AH146" s="5" t="e">
        <f t="shared" si="46"/>
        <v>#DIV/0!</v>
      </c>
      <c r="AI146" s="5">
        <f t="shared" si="47"/>
        <v>-0.51964769647696474</v>
      </c>
    </row>
    <row r="147" spans="1:35" x14ac:dyDescent="0.25">
      <c r="A147" s="2" t="s">
        <v>148</v>
      </c>
      <c r="B147" t="s">
        <v>215</v>
      </c>
      <c r="C147" t="e">
        <f>VLOOKUP(A147,[1]FO!$A$2:$A$69,2,0)</f>
        <v>#N/A</v>
      </c>
      <c r="D147" s="4">
        <v>-4.25</v>
      </c>
      <c r="E147" s="10">
        <v>7.9</v>
      </c>
      <c r="G147" t="s">
        <v>232</v>
      </c>
      <c r="H147" s="1">
        <v>106697</v>
      </c>
      <c r="I147" s="6" t="e">
        <f t="shared" si="38"/>
        <v>#VALUE!</v>
      </c>
      <c r="J147" s="6" t="e">
        <f t="shared" si="39"/>
        <v>#VALUE!</v>
      </c>
      <c r="K147" s="5" t="e">
        <f t="shared" si="32"/>
        <v>#VALUE!</v>
      </c>
      <c r="L147" s="5" t="e">
        <f t="shared" si="33"/>
        <v>#VALUE!</v>
      </c>
      <c r="M147" s="3"/>
      <c r="N147" s="3">
        <v>135.30000000000001</v>
      </c>
      <c r="O147" s="11">
        <v>196.69</v>
      </c>
      <c r="P147" s="7">
        <f t="shared" si="40"/>
        <v>135.30000000000001</v>
      </c>
      <c r="Q147" s="7">
        <f t="shared" si="41"/>
        <v>61.389999999999986</v>
      </c>
      <c r="R147" s="5" t="e">
        <f t="shared" si="34"/>
        <v>#DIV/0!</v>
      </c>
      <c r="S147" s="5">
        <f t="shared" si="35"/>
        <v>0.45373244641537308</v>
      </c>
      <c r="U147">
        <v>4272707</v>
      </c>
      <c r="V147" s="1">
        <f>VLOOKUP(A147,[2]Sheet1!$A:$B,2,0)</f>
        <v>19668651</v>
      </c>
      <c r="W147" s="6">
        <f t="shared" si="42"/>
        <v>4272707</v>
      </c>
      <c r="X147" s="6">
        <f t="shared" si="43"/>
        <v>15395944</v>
      </c>
      <c r="Y147" s="5" t="e">
        <f t="shared" si="36"/>
        <v>#DIV/0!</v>
      </c>
      <c r="Z147" s="5">
        <f t="shared" si="37"/>
        <v>3.6033231391714899</v>
      </c>
      <c r="AA147" s="9">
        <v>-3612000</v>
      </c>
      <c r="AB147" s="10">
        <v>-2040000</v>
      </c>
      <c r="AD147">
        <v>5102</v>
      </c>
      <c r="AE147" s="1">
        <v>1727</v>
      </c>
      <c r="AF147" s="6">
        <f t="shared" si="44"/>
        <v>5102</v>
      </c>
      <c r="AG147" s="6">
        <f t="shared" si="45"/>
        <v>-3375</v>
      </c>
      <c r="AH147" s="5" t="e">
        <f t="shared" si="46"/>
        <v>#DIV/0!</v>
      </c>
      <c r="AI147" s="5">
        <f t="shared" si="47"/>
        <v>-0.66150529204233632</v>
      </c>
    </row>
    <row r="148" spans="1:35" x14ac:dyDescent="0.25">
      <c r="A148" s="2" t="s">
        <v>149</v>
      </c>
      <c r="B148" t="s">
        <v>215</v>
      </c>
      <c r="C148" t="e">
        <f>VLOOKUP(A148,[1]FO!$A$2:$A$69,2,0)</f>
        <v>#N/A</v>
      </c>
      <c r="D148" s="4">
        <v>-0.35</v>
      </c>
      <c r="E148" s="10">
        <v>-1.75</v>
      </c>
      <c r="G148" t="s">
        <v>232</v>
      </c>
      <c r="H148" s="1">
        <v>71296</v>
      </c>
      <c r="I148" s="6" t="e">
        <f t="shared" si="38"/>
        <v>#VALUE!</v>
      </c>
      <c r="J148" s="6" t="e">
        <f t="shared" si="39"/>
        <v>#VALUE!</v>
      </c>
      <c r="K148" s="5" t="e">
        <f t="shared" si="32"/>
        <v>#VALUE!</v>
      </c>
      <c r="L148" s="5" t="e">
        <f t="shared" si="33"/>
        <v>#VALUE!</v>
      </c>
      <c r="M148" s="3"/>
      <c r="N148" s="3">
        <v>295</v>
      </c>
      <c r="O148" s="11">
        <v>45.95</v>
      </c>
      <c r="P148" s="7">
        <f t="shared" si="40"/>
        <v>295</v>
      </c>
      <c r="Q148" s="7">
        <f t="shared" si="41"/>
        <v>-249.05</v>
      </c>
      <c r="R148" s="5" t="e">
        <f t="shared" si="34"/>
        <v>#DIV/0!</v>
      </c>
      <c r="S148" s="5">
        <f t="shared" si="35"/>
        <v>-0.84423728813559329</v>
      </c>
      <c r="U148">
        <v>1553927</v>
      </c>
      <c r="V148" s="1">
        <f>VLOOKUP(A148,[2]Sheet1!$A:$B,2,0)</f>
        <v>4595484</v>
      </c>
      <c r="W148" s="6">
        <f t="shared" si="42"/>
        <v>1553927</v>
      </c>
      <c r="X148" s="6">
        <f t="shared" si="43"/>
        <v>3041557</v>
      </c>
      <c r="Y148" s="5" t="e">
        <f t="shared" si="36"/>
        <v>#DIV/0!</v>
      </c>
      <c r="Z148" s="5">
        <f t="shared" si="37"/>
        <v>1.957335833665288</v>
      </c>
      <c r="AA148" s="9">
        <v>-2532400</v>
      </c>
      <c r="AB148" s="10">
        <v>-816400</v>
      </c>
      <c r="AD148">
        <v>3848</v>
      </c>
      <c r="AE148" s="1">
        <v>1354</v>
      </c>
      <c r="AF148" s="6">
        <f t="shared" si="44"/>
        <v>3848</v>
      </c>
      <c r="AG148" s="6">
        <f t="shared" si="45"/>
        <v>-2494</v>
      </c>
      <c r="AH148" s="5" t="e">
        <f t="shared" si="46"/>
        <v>#DIV/0!</v>
      </c>
      <c r="AI148" s="5">
        <f t="shared" si="47"/>
        <v>-0.64812889812889818</v>
      </c>
    </row>
    <row r="149" spans="1:35" x14ac:dyDescent="0.25">
      <c r="A149" s="2" t="s">
        <v>150</v>
      </c>
      <c r="B149" t="s">
        <v>215</v>
      </c>
      <c r="C149" t="e">
        <f>VLOOKUP(A149,[1]FO!$A$2:$A$69,2,0)</f>
        <v>#N/A</v>
      </c>
      <c r="D149" s="4">
        <v>9.4</v>
      </c>
      <c r="E149" s="10">
        <v>3.6</v>
      </c>
      <c r="G149" t="s">
        <v>232</v>
      </c>
      <c r="H149" s="1">
        <v>65660</v>
      </c>
      <c r="I149" s="6" t="e">
        <f t="shared" si="38"/>
        <v>#VALUE!</v>
      </c>
      <c r="J149" s="6" t="e">
        <f t="shared" si="39"/>
        <v>#VALUE!</v>
      </c>
      <c r="K149" s="5" t="e">
        <f t="shared" si="32"/>
        <v>#VALUE!</v>
      </c>
      <c r="L149" s="5" t="e">
        <f t="shared" si="33"/>
        <v>#VALUE!</v>
      </c>
      <c r="M149" s="3"/>
      <c r="N149" s="3">
        <v>545.5</v>
      </c>
      <c r="O149" s="11">
        <v>30.5</v>
      </c>
      <c r="P149" s="7">
        <f t="shared" si="40"/>
        <v>545.5</v>
      </c>
      <c r="Q149" s="7">
        <f t="shared" si="41"/>
        <v>-515</v>
      </c>
      <c r="R149" s="5" t="e">
        <f t="shared" si="34"/>
        <v>#DIV/0!</v>
      </c>
      <c r="S149" s="5">
        <f t="shared" si="35"/>
        <v>-0.94408799266727772</v>
      </c>
      <c r="U149">
        <v>942471</v>
      </c>
      <c r="V149" s="1">
        <f>VLOOKUP(A149,[2]Sheet1!$A:$B,2,0)</f>
        <v>3049732</v>
      </c>
      <c r="W149" s="6">
        <f t="shared" si="42"/>
        <v>942471</v>
      </c>
      <c r="X149" s="6">
        <f t="shared" si="43"/>
        <v>2107261</v>
      </c>
      <c r="Y149" s="5" t="e">
        <f t="shared" si="36"/>
        <v>#DIV/0!</v>
      </c>
      <c r="Z149" s="5">
        <f t="shared" si="37"/>
        <v>2.2358894862547496</v>
      </c>
      <c r="AA149" s="9">
        <v>-2825000</v>
      </c>
      <c r="AB149" s="10">
        <v>-1192500</v>
      </c>
      <c r="AD149">
        <v>3595</v>
      </c>
      <c r="AE149" s="1">
        <v>2220</v>
      </c>
      <c r="AF149" s="6">
        <f t="shared" si="44"/>
        <v>3595</v>
      </c>
      <c r="AG149" s="6">
        <f t="shared" si="45"/>
        <v>-1375</v>
      </c>
      <c r="AH149" s="5" t="e">
        <f t="shared" si="46"/>
        <v>#DIV/0!</v>
      </c>
      <c r="AI149" s="5">
        <f t="shared" si="47"/>
        <v>-0.38247566063977745</v>
      </c>
    </row>
    <row r="150" spans="1:35" x14ac:dyDescent="0.25">
      <c r="A150" s="2" t="s">
        <v>151</v>
      </c>
      <c r="B150" t="s">
        <v>215</v>
      </c>
      <c r="C150" t="e">
        <f>VLOOKUP(A150,[1]FO!$A$2:$A$69,2,0)</f>
        <v>#N/A</v>
      </c>
      <c r="D150" s="4" t="e">
        <v>#N/A</v>
      </c>
      <c r="E150" s="10" t="e">
        <v>#N/A</v>
      </c>
      <c r="G150" t="s">
        <v>232</v>
      </c>
      <c r="H150" s="1">
        <v>40511</v>
      </c>
      <c r="I150" s="6" t="e">
        <f t="shared" si="38"/>
        <v>#VALUE!</v>
      </c>
      <c r="J150" s="6" t="e">
        <f t="shared" si="39"/>
        <v>#VALUE!</v>
      </c>
      <c r="K150" s="5" t="e">
        <f t="shared" si="32"/>
        <v>#VALUE!</v>
      </c>
      <c r="L150" s="5" t="e">
        <f t="shared" si="33"/>
        <v>#VALUE!</v>
      </c>
      <c r="M150" s="3"/>
      <c r="N150" s="3" t="e">
        <v>#N/A</v>
      </c>
      <c r="O150" s="11" t="e">
        <v>#N/A</v>
      </c>
      <c r="P150" s="7" t="e">
        <f t="shared" si="40"/>
        <v>#N/A</v>
      </c>
      <c r="Q150" s="7" t="e">
        <f t="shared" si="41"/>
        <v>#N/A</v>
      </c>
      <c r="R150" s="5" t="e">
        <f t="shared" si="34"/>
        <v>#N/A</v>
      </c>
      <c r="S150" s="5" t="e">
        <f t="shared" si="35"/>
        <v>#N/A</v>
      </c>
      <c r="U150">
        <v>154255</v>
      </c>
      <c r="V150" s="1">
        <f>VLOOKUP(A150,[2]Sheet1!$A:$B,2,0)</f>
        <v>729312</v>
      </c>
      <c r="W150" s="6">
        <f t="shared" si="42"/>
        <v>154255</v>
      </c>
      <c r="X150" s="6">
        <f t="shared" si="43"/>
        <v>575057</v>
      </c>
      <c r="Y150" s="5" t="e">
        <f t="shared" si="36"/>
        <v>#DIV/0!</v>
      </c>
      <c r="Z150" s="5">
        <f t="shared" si="37"/>
        <v>3.727963437165732</v>
      </c>
      <c r="AA150" s="9" t="e">
        <v>#N/A</v>
      </c>
      <c r="AB150" s="10" t="e">
        <v>#N/A</v>
      </c>
      <c r="AD150" t="e">
        <v>#N/A</v>
      </c>
      <c r="AE150" s="1" t="e">
        <v>#N/A</v>
      </c>
      <c r="AF150" s="6" t="e">
        <f t="shared" si="44"/>
        <v>#N/A</v>
      </c>
      <c r="AG150" s="6" t="e">
        <f t="shared" si="45"/>
        <v>#N/A</v>
      </c>
      <c r="AH150" s="5" t="e">
        <f t="shared" si="46"/>
        <v>#N/A</v>
      </c>
      <c r="AI150" s="5" t="e">
        <f t="shared" si="47"/>
        <v>#N/A</v>
      </c>
    </row>
    <row r="151" spans="1:35" x14ac:dyDescent="0.25">
      <c r="A151" s="2" t="s">
        <v>152</v>
      </c>
      <c r="B151" t="s">
        <v>215</v>
      </c>
      <c r="C151" t="e">
        <f>VLOOKUP(A151,[1]FO!$A$2:$A$69,2,0)</f>
        <v>#N/A</v>
      </c>
      <c r="D151" s="4">
        <v>-5.15</v>
      </c>
      <c r="E151" s="10">
        <v>-6.7</v>
      </c>
      <c r="G151" t="s">
        <v>232</v>
      </c>
      <c r="H151" s="1">
        <v>35735</v>
      </c>
      <c r="I151" s="6" t="e">
        <f t="shared" si="38"/>
        <v>#VALUE!</v>
      </c>
      <c r="J151" s="6" t="e">
        <f t="shared" si="39"/>
        <v>#VALUE!</v>
      </c>
      <c r="K151" s="5" t="e">
        <f t="shared" si="32"/>
        <v>#VALUE!</v>
      </c>
      <c r="L151" s="5" t="e">
        <f t="shared" si="33"/>
        <v>#VALUE!</v>
      </c>
      <c r="M151" s="3"/>
      <c r="N151" s="3">
        <v>489.85</v>
      </c>
      <c r="O151" s="11">
        <v>20.82</v>
      </c>
      <c r="P151" s="7">
        <f t="shared" si="40"/>
        <v>489.85</v>
      </c>
      <c r="Q151" s="7">
        <f t="shared" si="41"/>
        <v>-469.03000000000003</v>
      </c>
      <c r="R151" s="5" t="e">
        <f t="shared" si="34"/>
        <v>#DIV/0!</v>
      </c>
      <c r="S151" s="5">
        <f t="shared" si="35"/>
        <v>-0.95749719301827096</v>
      </c>
      <c r="U151">
        <v>2730426</v>
      </c>
      <c r="V151" s="1">
        <f>VLOOKUP(A151,[2]Sheet1!$A:$B,2,0)</f>
        <v>2081814</v>
      </c>
      <c r="W151" s="6">
        <f t="shared" si="42"/>
        <v>2730426</v>
      </c>
      <c r="X151" s="6">
        <f t="shared" si="43"/>
        <v>-648612</v>
      </c>
      <c r="Y151" s="5" t="e">
        <f t="shared" si="36"/>
        <v>#DIV/0!</v>
      </c>
      <c r="Z151" s="5">
        <f t="shared" si="37"/>
        <v>-0.23754974498484852</v>
      </c>
      <c r="AA151" s="9">
        <v>-861900</v>
      </c>
      <c r="AB151" s="10">
        <v>-505700</v>
      </c>
      <c r="AD151">
        <v>10302</v>
      </c>
      <c r="AE151" s="1">
        <v>1155</v>
      </c>
      <c r="AF151" s="6">
        <f t="shared" si="44"/>
        <v>10302</v>
      </c>
      <c r="AG151" s="6">
        <f t="shared" si="45"/>
        <v>-9147</v>
      </c>
      <c r="AH151" s="5" t="e">
        <f t="shared" si="46"/>
        <v>#DIV/0!</v>
      </c>
      <c r="AI151" s="5">
        <f t="shared" si="47"/>
        <v>-0.88788584740827026</v>
      </c>
    </row>
    <row r="152" spans="1:35" x14ac:dyDescent="0.25">
      <c r="A152" s="2" t="s">
        <v>153</v>
      </c>
      <c r="B152" t="s">
        <v>215</v>
      </c>
      <c r="C152" t="e">
        <f>VLOOKUP(A152,[1]FO!$A$2:$A$69,2,0)</f>
        <v>#N/A</v>
      </c>
      <c r="D152" s="4">
        <v>-13.1</v>
      </c>
      <c r="E152" s="10">
        <v>19.3</v>
      </c>
      <c r="G152" t="s">
        <v>232</v>
      </c>
      <c r="H152" s="1">
        <v>24716</v>
      </c>
      <c r="I152" s="6" t="e">
        <f t="shared" si="38"/>
        <v>#VALUE!</v>
      </c>
      <c r="J152" s="6" t="e">
        <f t="shared" si="39"/>
        <v>#VALUE!</v>
      </c>
      <c r="K152" s="5" t="e">
        <f t="shared" si="32"/>
        <v>#VALUE!</v>
      </c>
      <c r="L152" s="5" t="e">
        <f t="shared" si="33"/>
        <v>#VALUE!</v>
      </c>
      <c r="M152" s="3"/>
      <c r="N152" s="3">
        <v>978.1</v>
      </c>
      <c r="O152" s="11">
        <v>7.48</v>
      </c>
      <c r="P152" s="7">
        <f t="shared" si="40"/>
        <v>978.1</v>
      </c>
      <c r="Q152" s="7">
        <f t="shared" si="41"/>
        <v>-970.62</v>
      </c>
      <c r="R152" s="5" t="e">
        <f t="shared" si="34"/>
        <v>#DIV/0!</v>
      </c>
      <c r="S152" s="5">
        <f t="shared" si="35"/>
        <v>-0.99235252019220932</v>
      </c>
      <c r="U152">
        <v>123807</v>
      </c>
      <c r="V152" s="1">
        <f>VLOOKUP(A152,[2]Sheet1!$A:$B,2,0)</f>
        <v>747780</v>
      </c>
      <c r="W152" s="6">
        <f t="shared" si="42"/>
        <v>123807</v>
      </c>
      <c r="X152" s="6">
        <f t="shared" si="43"/>
        <v>623973</v>
      </c>
      <c r="Y152" s="5" t="e">
        <f t="shared" si="36"/>
        <v>#DIV/0!</v>
      </c>
      <c r="Z152" s="5">
        <f t="shared" si="37"/>
        <v>5.0398846591872832</v>
      </c>
      <c r="AA152" s="9">
        <v>-564000</v>
      </c>
      <c r="AB152" s="10">
        <v>-198000</v>
      </c>
      <c r="AD152">
        <v>1949</v>
      </c>
      <c r="AE152" s="1">
        <v>656</v>
      </c>
      <c r="AF152" s="6">
        <f t="shared" si="44"/>
        <v>1949</v>
      </c>
      <c r="AG152" s="6">
        <f t="shared" si="45"/>
        <v>-1293</v>
      </c>
      <c r="AH152" s="5" t="e">
        <f t="shared" si="46"/>
        <v>#DIV/0!</v>
      </c>
      <c r="AI152" s="5">
        <f t="shared" si="47"/>
        <v>-0.66341713699332994</v>
      </c>
    </row>
    <row r="153" spans="1:35" x14ac:dyDescent="0.25">
      <c r="A153" s="2" t="s">
        <v>154</v>
      </c>
      <c r="B153" t="s">
        <v>215</v>
      </c>
      <c r="C153" t="e">
        <f>VLOOKUP(A153,[1]FO!$A$2:$A$69,2,0)</f>
        <v>#N/A</v>
      </c>
      <c r="D153" s="4">
        <v>14.35</v>
      </c>
      <c r="E153" s="10">
        <v>33.35</v>
      </c>
      <c r="G153" t="s">
        <v>232</v>
      </c>
      <c r="H153" s="1">
        <v>41811</v>
      </c>
      <c r="I153" s="6" t="e">
        <f t="shared" si="38"/>
        <v>#VALUE!</v>
      </c>
      <c r="J153" s="6" t="e">
        <f t="shared" si="39"/>
        <v>#VALUE!</v>
      </c>
      <c r="K153" s="5" t="e">
        <f t="shared" si="32"/>
        <v>#VALUE!</v>
      </c>
      <c r="L153" s="5" t="e">
        <f t="shared" si="33"/>
        <v>#VALUE!</v>
      </c>
      <c r="M153" s="3"/>
      <c r="N153" s="3">
        <v>921.8</v>
      </c>
      <c r="O153" s="11">
        <v>16.420000000000002</v>
      </c>
      <c r="P153" s="7">
        <f t="shared" si="40"/>
        <v>921.8</v>
      </c>
      <c r="Q153" s="7">
        <f t="shared" si="41"/>
        <v>-905.38</v>
      </c>
      <c r="R153" s="5" t="e">
        <f t="shared" si="34"/>
        <v>#DIV/0!</v>
      </c>
      <c r="S153" s="5">
        <f t="shared" si="35"/>
        <v>-0.98218702538511615</v>
      </c>
      <c r="U153">
        <v>251577</v>
      </c>
      <c r="V153" s="1">
        <f>VLOOKUP(A153,[2]Sheet1!$A:$B,2,0)</f>
        <v>1642403</v>
      </c>
      <c r="W153" s="6">
        <f t="shared" si="42"/>
        <v>251577</v>
      </c>
      <c r="X153" s="6">
        <f t="shared" si="43"/>
        <v>1390826</v>
      </c>
      <c r="Y153" s="5" t="e">
        <f t="shared" si="36"/>
        <v>#DIV/0!</v>
      </c>
      <c r="Z153" s="5">
        <f t="shared" si="37"/>
        <v>5.5284306594005015</v>
      </c>
      <c r="AA153" s="9">
        <v>-422400</v>
      </c>
      <c r="AB153" s="10">
        <v>-211200</v>
      </c>
      <c r="AD153">
        <v>2822</v>
      </c>
      <c r="AE153" s="1">
        <v>918</v>
      </c>
      <c r="AF153" s="6">
        <f t="shared" si="44"/>
        <v>2822</v>
      </c>
      <c r="AG153" s="6">
        <f t="shared" si="45"/>
        <v>-1904</v>
      </c>
      <c r="AH153" s="5" t="e">
        <f t="shared" si="46"/>
        <v>#DIV/0!</v>
      </c>
      <c r="AI153" s="5">
        <f t="shared" si="47"/>
        <v>-0.67469879518072284</v>
      </c>
    </row>
    <row r="154" spans="1:35" x14ac:dyDescent="0.25">
      <c r="A154" s="2" t="s">
        <v>155</v>
      </c>
      <c r="B154" t="s">
        <v>215</v>
      </c>
      <c r="C154" t="e">
        <f>VLOOKUP(A154,[1]FO!$A$2:$A$69,2,0)</f>
        <v>#N/A</v>
      </c>
      <c r="D154" s="4">
        <v>3.4</v>
      </c>
      <c r="E154" s="10">
        <v>7.1</v>
      </c>
      <c r="G154" t="s">
        <v>232</v>
      </c>
      <c r="H154" s="1">
        <v>214796</v>
      </c>
      <c r="I154" s="6" t="e">
        <f t="shared" si="38"/>
        <v>#VALUE!</v>
      </c>
      <c r="J154" s="6" t="e">
        <f t="shared" si="39"/>
        <v>#VALUE!</v>
      </c>
      <c r="K154" s="5" t="e">
        <f t="shared" si="32"/>
        <v>#VALUE!</v>
      </c>
      <c r="L154" s="5" t="e">
        <f t="shared" si="33"/>
        <v>#VALUE!</v>
      </c>
      <c r="M154" s="3"/>
      <c r="N154" s="3">
        <v>92</v>
      </c>
      <c r="O154" s="11">
        <v>548.41</v>
      </c>
      <c r="P154" s="7">
        <f t="shared" si="40"/>
        <v>92</v>
      </c>
      <c r="Q154" s="7">
        <f t="shared" si="41"/>
        <v>456.40999999999997</v>
      </c>
      <c r="R154" s="5" t="e">
        <f t="shared" si="34"/>
        <v>#DIV/0!</v>
      </c>
      <c r="S154" s="5">
        <f t="shared" si="35"/>
        <v>4.9609782608695649</v>
      </c>
      <c r="U154">
        <v>5236027</v>
      </c>
      <c r="V154" s="1">
        <f>VLOOKUP(A154,[2]Sheet1!$A:$B,2,0)</f>
        <v>54841389</v>
      </c>
      <c r="W154" s="6">
        <f t="shared" si="42"/>
        <v>5236027</v>
      </c>
      <c r="X154" s="6">
        <f t="shared" si="43"/>
        <v>49605362</v>
      </c>
      <c r="Y154" s="5" t="e">
        <f t="shared" si="36"/>
        <v>#DIV/0!</v>
      </c>
      <c r="Z154" s="5">
        <f t="shared" si="37"/>
        <v>9.473855272327663</v>
      </c>
      <c r="AA154" s="9">
        <v>-6450000</v>
      </c>
      <c r="AB154" s="10">
        <v>-4995000</v>
      </c>
      <c r="AD154">
        <v>5669</v>
      </c>
      <c r="AE154" s="1">
        <v>3082</v>
      </c>
      <c r="AF154" s="6">
        <f t="shared" si="44"/>
        <v>5669</v>
      </c>
      <c r="AG154" s="6">
        <f t="shared" si="45"/>
        <v>-2587</v>
      </c>
      <c r="AH154" s="5" t="e">
        <f t="shared" si="46"/>
        <v>#DIV/0!</v>
      </c>
      <c r="AI154" s="5">
        <f t="shared" si="47"/>
        <v>-0.45634150643852534</v>
      </c>
    </row>
    <row r="155" spans="1:35" x14ac:dyDescent="0.25">
      <c r="A155" s="2" t="s">
        <v>156</v>
      </c>
      <c r="B155" t="s">
        <v>215</v>
      </c>
      <c r="C155" t="e">
        <f>VLOOKUP(A155,[1]FO!$A$2:$A$69,2,0)</f>
        <v>#N/A</v>
      </c>
      <c r="D155" s="4">
        <v>-7.25</v>
      </c>
      <c r="E155" s="10">
        <v>706.3</v>
      </c>
      <c r="G155" t="s">
        <v>232</v>
      </c>
      <c r="H155" s="1">
        <v>10645</v>
      </c>
      <c r="I155" s="6" t="e">
        <f t="shared" si="38"/>
        <v>#VALUE!</v>
      </c>
      <c r="J155" s="6" t="e">
        <f t="shared" si="39"/>
        <v>#VALUE!</v>
      </c>
      <c r="K155" s="5" t="e">
        <f t="shared" si="32"/>
        <v>#VALUE!</v>
      </c>
      <c r="L155" s="5" t="e">
        <f t="shared" si="33"/>
        <v>#VALUE!</v>
      </c>
      <c r="M155" s="3"/>
      <c r="N155" s="3">
        <v>61800</v>
      </c>
      <c r="O155" s="11">
        <v>0.19</v>
      </c>
      <c r="P155" s="7">
        <f t="shared" si="40"/>
        <v>61800</v>
      </c>
      <c r="Q155" s="7">
        <f t="shared" si="41"/>
        <v>-61799.81</v>
      </c>
      <c r="R155" s="5" t="e">
        <f t="shared" si="34"/>
        <v>#DIV/0!</v>
      </c>
      <c r="S155" s="5">
        <f t="shared" si="35"/>
        <v>-0.99999692556634301</v>
      </c>
      <c r="U155">
        <v>1598</v>
      </c>
      <c r="V155" s="1">
        <f>VLOOKUP(A155,[2]Sheet1!$A:$B,2,0)</f>
        <v>18800</v>
      </c>
      <c r="W155" s="6">
        <f t="shared" si="42"/>
        <v>1598</v>
      </c>
      <c r="X155" s="6">
        <f t="shared" si="43"/>
        <v>17202</v>
      </c>
      <c r="Y155" s="5" t="e">
        <f t="shared" si="36"/>
        <v>#DIV/0!</v>
      </c>
      <c r="Z155" s="5">
        <f t="shared" si="37"/>
        <v>10.764705882352942</v>
      </c>
      <c r="AA155" s="9">
        <v>-6790</v>
      </c>
      <c r="AB155" s="10">
        <v>-3880</v>
      </c>
      <c r="AD155">
        <v>1060</v>
      </c>
      <c r="AE155" s="1">
        <v>809</v>
      </c>
      <c r="AF155" s="6">
        <f t="shared" si="44"/>
        <v>1060</v>
      </c>
      <c r="AG155" s="6">
        <f t="shared" si="45"/>
        <v>-251</v>
      </c>
      <c r="AH155" s="5" t="e">
        <f t="shared" si="46"/>
        <v>#DIV/0!</v>
      </c>
      <c r="AI155" s="5">
        <f t="shared" si="47"/>
        <v>-0.23679245283018868</v>
      </c>
    </row>
    <row r="156" spans="1:35" x14ac:dyDescent="0.25">
      <c r="A156" s="2" t="s">
        <v>157</v>
      </c>
      <c r="B156" t="s">
        <v>215</v>
      </c>
      <c r="C156" t="e">
        <f>VLOOKUP(A156,[1]FO!$A$2:$A$69,2,0)</f>
        <v>#N/A</v>
      </c>
      <c r="D156" s="4" t="e">
        <v>#N/A</v>
      </c>
      <c r="E156" s="10" t="e">
        <v>#N/A</v>
      </c>
      <c r="G156" t="s">
        <v>232</v>
      </c>
      <c r="H156" s="1">
        <v>2456</v>
      </c>
      <c r="I156" s="6" t="e">
        <f t="shared" si="38"/>
        <v>#VALUE!</v>
      </c>
      <c r="J156" s="6" t="e">
        <f t="shared" si="39"/>
        <v>#VALUE!</v>
      </c>
      <c r="K156" s="5" t="e">
        <f t="shared" si="32"/>
        <v>#VALUE!</v>
      </c>
      <c r="L156" s="5" t="e">
        <f t="shared" si="33"/>
        <v>#VALUE!</v>
      </c>
      <c r="M156" s="3"/>
      <c r="N156" s="3" t="e">
        <v>#N/A</v>
      </c>
      <c r="O156" s="11" t="e">
        <v>#N/A</v>
      </c>
      <c r="P156" s="7" t="e">
        <f t="shared" si="40"/>
        <v>#N/A</v>
      </c>
      <c r="Q156" s="7" t="e">
        <f t="shared" si="41"/>
        <v>#N/A</v>
      </c>
      <c r="R156" s="5" t="e">
        <f t="shared" si="34"/>
        <v>#N/A</v>
      </c>
      <c r="S156" s="5" t="e">
        <f t="shared" si="35"/>
        <v>#N/A</v>
      </c>
      <c r="U156">
        <v>199540</v>
      </c>
      <c r="V156" s="1">
        <f>VLOOKUP(A156,[2]Sheet1!$A:$B,2,0)</f>
        <v>582394</v>
      </c>
      <c r="W156" s="6">
        <f t="shared" si="42"/>
        <v>199540</v>
      </c>
      <c r="X156" s="6">
        <f t="shared" si="43"/>
        <v>382854</v>
      </c>
      <c r="Y156" s="5" t="e">
        <f t="shared" si="36"/>
        <v>#DIV/0!</v>
      </c>
      <c r="Z156" s="5">
        <f t="shared" si="37"/>
        <v>1.9186829708329156</v>
      </c>
      <c r="AA156" s="9" t="e">
        <v>#N/A</v>
      </c>
      <c r="AB156" s="10" t="e">
        <v>#N/A</v>
      </c>
      <c r="AD156" t="e">
        <v>#N/A</v>
      </c>
      <c r="AE156" s="1" t="e">
        <v>#N/A</v>
      </c>
      <c r="AF156" s="6" t="e">
        <f t="shared" si="44"/>
        <v>#N/A</v>
      </c>
      <c r="AG156" s="6" t="e">
        <f t="shared" si="45"/>
        <v>#N/A</v>
      </c>
      <c r="AH156" s="5" t="e">
        <f t="shared" si="46"/>
        <v>#N/A</v>
      </c>
      <c r="AI156" s="5" t="e">
        <f t="shared" si="47"/>
        <v>#N/A</v>
      </c>
    </row>
    <row r="157" spans="1:35" x14ac:dyDescent="0.25">
      <c r="A157" s="2" t="s">
        <v>158</v>
      </c>
      <c r="B157" t="s">
        <v>215</v>
      </c>
      <c r="C157" t="e">
        <f>VLOOKUP(A157,[1]FO!$A$2:$A$69,2,0)</f>
        <v>#N/A</v>
      </c>
      <c r="D157" s="4">
        <v>-1.85</v>
      </c>
      <c r="E157" s="10">
        <v>43</v>
      </c>
      <c r="G157" t="s">
        <v>232</v>
      </c>
      <c r="H157" s="1">
        <v>83577</v>
      </c>
      <c r="I157" s="6" t="e">
        <f t="shared" si="38"/>
        <v>#VALUE!</v>
      </c>
      <c r="J157" s="6" t="e">
        <f t="shared" si="39"/>
        <v>#VALUE!</v>
      </c>
      <c r="K157" s="5" t="e">
        <f t="shared" si="32"/>
        <v>#VALUE!</v>
      </c>
      <c r="L157" s="5" t="e">
        <f t="shared" si="33"/>
        <v>#VALUE!</v>
      </c>
      <c r="M157" s="3"/>
      <c r="N157" s="3">
        <v>875</v>
      </c>
      <c r="O157" s="11">
        <v>31.62</v>
      </c>
      <c r="P157" s="7">
        <f t="shared" si="40"/>
        <v>875</v>
      </c>
      <c r="Q157" s="7">
        <f t="shared" si="41"/>
        <v>-843.38</v>
      </c>
      <c r="R157" s="5" t="e">
        <f t="shared" si="34"/>
        <v>#DIV/0!</v>
      </c>
      <c r="S157" s="5">
        <f t="shared" si="35"/>
        <v>-0.96386285714285713</v>
      </c>
      <c r="U157">
        <v>286732</v>
      </c>
      <c r="V157" s="1">
        <f>VLOOKUP(A157,[2]Sheet1!$A:$B,2,0)</f>
        <v>3162393</v>
      </c>
      <c r="W157" s="6">
        <f t="shared" si="42"/>
        <v>286732</v>
      </c>
      <c r="X157" s="6">
        <f t="shared" si="43"/>
        <v>2875661</v>
      </c>
      <c r="Y157" s="5" t="e">
        <f t="shared" si="36"/>
        <v>#DIV/0!</v>
      </c>
      <c r="Z157" s="5">
        <f t="shared" si="37"/>
        <v>10.029089881840882</v>
      </c>
      <c r="AA157" s="9">
        <v>-466500</v>
      </c>
      <c r="AB157" s="10">
        <v>-297000</v>
      </c>
      <c r="AD157">
        <v>3182</v>
      </c>
      <c r="AE157" s="1">
        <v>1800</v>
      </c>
      <c r="AF157" s="6">
        <f t="shared" si="44"/>
        <v>3182</v>
      </c>
      <c r="AG157" s="6">
        <f t="shared" si="45"/>
        <v>-1382</v>
      </c>
      <c r="AH157" s="5" t="e">
        <f t="shared" si="46"/>
        <v>#DIV/0!</v>
      </c>
      <c r="AI157" s="5">
        <f t="shared" si="47"/>
        <v>-0.43431803896920174</v>
      </c>
    </row>
    <row r="158" spans="1:35" x14ac:dyDescent="0.25">
      <c r="A158" s="2" t="s">
        <v>159</v>
      </c>
      <c r="B158" t="s">
        <v>215</v>
      </c>
      <c r="C158" t="e">
        <f>VLOOKUP(A158,[1]FO!$A$2:$A$69,2,0)</f>
        <v>#N/A</v>
      </c>
      <c r="D158" s="4">
        <v>0.35</v>
      </c>
      <c r="E158" s="10">
        <v>0.85</v>
      </c>
      <c r="G158" t="s">
        <v>232</v>
      </c>
      <c r="H158" s="1">
        <v>45749</v>
      </c>
      <c r="I158" s="6" t="e">
        <f t="shared" si="38"/>
        <v>#VALUE!</v>
      </c>
      <c r="J158" s="6" t="e">
        <f t="shared" si="39"/>
        <v>#VALUE!</v>
      </c>
      <c r="K158" s="5" t="e">
        <f t="shared" si="32"/>
        <v>#VALUE!</v>
      </c>
      <c r="L158" s="5" t="e">
        <f t="shared" si="33"/>
        <v>#VALUE!</v>
      </c>
      <c r="M158" s="3"/>
      <c r="N158" s="3">
        <v>32.200000000000003</v>
      </c>
      <c r="O158" s="11">
        <v>146.46</v>
      </c>
      <c r="P158" s="7">
        <f t="shared" si="40"/>
        <v>32.200000000000003</v>
      </c>
      <c r="Q158" s="7">
        <f t="shared" si="41"/>
        <v>114.26</v>
      </c>
      <c r="R158" s="5" t="e">
        <f t="shared" si="34"/>
        <v>#DIV/0!</v>
      </c>
      <c r="S158" s="5">
        <f t="shared" si="35"/>
        <v>3.5484472049689439</v>
      </c>
      <c r="U158">
        <v>2493058</v>
      </c>
      <c r="V158" s="1">
        <f>VLOOKUP(A158,[2]Sheet1!$A:$B,2,0)</f>
        <v>14646461</v>
      </c>
      <c r="W158" s="6">
        <f t="shared" si="42"/>
        <v>2493058</v>
      </c>
      <c r="X158" s="6">
        <f t="shared" si="43"/>
        <v>12153403</v>
      </c>
      <c r="Y158" s="5" t="e">
        <f t="shared" si="36"/>
        <v>#DIV/0!</v>
      </c>
      <c r="Z158" s="5">
        <f t="shared" si="37"/>
        <v>4.8748978162561798</v>
      </c>
      <c r="AA158" s="9">
        <v>-3919500</v>
      </c>
      <c r="AB158" s="10">
        <v>-3334500</v>
      </c>
      <c r="AD158">
        <v>923</v>
      </c>
      <c r="AE158" s="1">
        <v>530</v>
      </c>
      <c r="AF158" s="6">
        <f t="shared" si="44"/>
        <v>923</v>
      </c>
      <c r="AG158" s="6">
        <f t="shared" si="45"/>
        <v>-393</v>
      </c>
      <c r="AH158" s="5" t="e">
        <f t="shared" si="46"/>
        <v>#DIV/0!</v>
      </c>
      <c r="AI158" s="5">
        <f t="shared" si="47"/>
        <v>-0.42578548212351031</v>
      </c>
    </row>
    <row r="159" spans="1:35" x14ac:dyDescent="0.25">
      <c r="A159" s="2" t="s">
        <v>160</v>
      </c>
      <c r="B159" t="s">
        <v>215</v>
      </c>
      <c r="C159" t="e">
        <f>VLOOKUP(A159,[1]FO!$A$2:$A$69,2,0)</f>
        <v>#N/A</v>
      </c>
      <c r="D159" s="4" t="e">
        <v>#N/A</v>
      </c>
      <c r="E159" s="10" t="e">
        <v>#N/A</v>
      </c>
      <c r="G159" t="s">
        <v>232</v>
      </c>
      <c r="H159" s="1">
        <v>41653</v>
      </c>
      <c r="I159" s="6" t="e">
        <f t="shared" si="38"/>
        <v>#VALUE!</v>
      </c>
      <c r="J159" s="6" t="e">
        <f t="shared" si="39"/>
        <v>#VALUE!</v>
      </c>
      <c r="K159" s="5" t="e">
        <f t="shared" si="32"/>
        <v>#VALUE!</v>
      </c>
      <c r="L159" s="5" t="e">
        <f t="shared" si="33"/>
        <v>#VALUE!</v>
      </c>
      <c r="M159" s="3"/>
      <c r="N159" s="3" t="e">
        <v>#N/A</v>
      </c>
      <c r="O159" s="11" t="e">
        <v>#N/A</v>
      </c>
      <c r="P159" s="7" t="e">
        <f t="shared" si="40"/>
        <v>#N/A</v>
      </c>
      <c r="Q159" s="7" t="e">
        <f t="shared" si="41"/>
        <v>#N/A</v>
      </c>
      <c r="R159" s="5" t="e">
        <f t="shared" si="34"/>
        <v>#N/A</v>
      </c>
      <c r="S159" s="5" t="e">
        <f t="shared" si="35"/>
        <v>#N/A</v>
      </c>
      <c r="U159">
        <v>1558869</v>
      </c>
      <c r="V159" s="1">
        <f>VLOOKUP(A159,[2]Sheet1!$A:$B,2,0)</f>
        <v>7241026</v>
      </c>
      <c r="W159" s="6">
        <f t="shared" si="42"/>
        <v>1558869</v>
      </c>
      <c r="X159" s="6">
        <f t="shared" si="43"/>
        <v>5682157</v>
      </c>
      <c r="Y159" s="5" t="e">
        <f t="shared" si="36"/>
        <v>#DIV/0!</v>
      </c>
      <c r="Z159" s="5">
        <f t="shared" si="37"/>
        <v>3.6450509953049295</v>
      </c>
      <c r="AA159" s="9" t="e">
        <v>#N/A</v>
      </c>
      <c r="AB159" s="10" t="e">
        <v>#N/A</v>
      </c>
      <c r="AD159" t="e">
        <v>#N/A</v>
      </c>
      <c r="AE159" s="1" t="e">
        <v>#N/A</v>
      </c>
      <c r="AF159" s="6" t="e">
        <f t="shared" si="44"/>
        <v>#N/A</v>
      </c>
      <c r="AG159" s="6" t="e">
        <f t="shared" si="45"/>
        <v>#N/A</v>
      </c>
      <c r="AH159" s="5" t="e">
        <f t="shared" si="46"/>
        <v>#N/A</v>
      </c>
      <c r="AI159" s="5" t="e">
        <f t="shared" si="47"/>
        <v>#N/A</v>
      </c>
    </row>
    <row r="160" spans="1:35" x14ac:dyDescent="0.25">
      <c r="A160" s="2" t="s">
        <v>161</v>
      </c>
      <c r="B160" t="s">
        <v>215</v>
      </c>
      <c r="C160" t="e">
        <f>VLOOKUP(A160,[1]FO!$A$2:$A$69,2,0)</f>
        <v>#N/A</v>
      </c>
      <c r="D160" s="4">
        <v>0.45</v>
      </c>
      <c r="E160" s="10">
        <v>0.25</v>
      </c>
      <c r="G160" t="s">
        <v>232</v>
      </c>
      <c r="H160" s="1">
        <v>48930</v>
      </c>
      <c r="I160" s="6" t="e">
        <f t="shared" si="38"/>
        <v>#VALUE!</v>
      </c>
      <c r="J160" s="6" t="e">
        <f t="shared" si="39"/>
        <v>#VALUE!</v>
      </c>
      <c r="K160" s="5" t="e">
        <f t="shared" si="32"/>
        <v>#VALUE!</v>
      </c>
      <c r="L160" s="5" t="e">
        <f t="shared" si="33"/>
        <v>#VALUE!</v>
      </c>
      <c r="M160" s="3"/>
      <c r="N160" s="3">
        <v>27.3</v>
      </c>
      <c r="O160" s="11">
        <v>301.86</v>
      </c>
      <c r="P160" s="7">
        <f t="shared" si="40"/>
        <v>27.3</v>
      </c>
      <c r="Q160" s="7">
        <f t="shared" si="41"/>
        <v>274.56</v>
      </c>
      <c r="R160" s="5" t="e">
        <f t="shared" si="34"/>
        <v>#DIV/0!</v>
      </c>
      <c r="S160" s="5">
        <f t="shared" si="35"/>
        <v>10.057142857142857</v>
      </c>
      <c r="U160">
        <v>2538539</v>
      </c>
      <c r="V160" s="1">
        <f>VLOOKUP(A160,[2]Sheet1!$A:$B,2,0)</f>
        <v>30185603</v>
      </c>
      <c r="W160" s="6">
        <f t="shared" si="42"/>
        <v>2538539</v>
      </c>
      <c r="X160" s="6">
        <f t="shared" si="43"/>
        <v>27647064</v>
      </c>
      <c r="Y160" s="5" t="e">
        <f t="shared" si="36"/>
        <v>#DIV/0!</v>
      </c>
      <c r="Z160" s="5">
        <f t="shared" si="37"/>
        <v>10.890935297822882</v>
      </c>
      <c r="AA160" s="9">
        <v>-4356000</v>
      </c>
      <c r="AB160" s="10">
        <v>-3555000</v>
      </c>
      <c r="AD160">
        <v>1374</v>
      </c>
      <c r="AE160" s="1">
        <v>1033</v>
      </c>
      <c r="AF160" s="6">
        <f t="shared" si="44"/>
        <v>1374</v>
      </c>
      <c r="AG160" s="6">
        <f t="shared" si="45"/>
        <v>-341</v>
      </c>
      <c r="AH160" s="5" t="e">
        <f t="shared" si="46"/>
        <v>#DIV/0!</v>
      </c>
      <c r="AI160" s="5">
        <f t="shared" si="47"/>
        <v>-0.24818049490538574</v>
      </c>
    </row>
    <row r="161" spans="1:35" x14ac:dyDescent="0.25">
      <c r="A161" s="2" t="s">
        <v>162</v>
      </c>
      <c r="B161" t="s">
        <v>215</v>
      </c>
      <c r="C161" t="e">
        <f>VLOOKUP(A161,[1]FO!$A$2:$A$69,2,0)</f>
        <v>#N/A</v>
      </c>
      <c r="D161" s="4">
        <v>-59.65</v>
      </c>
      <c r="E161" s="10">
        <v>409.3</v>
      </c>
      <c r="G161" t="s">
        <v>232</v>
      </c>
      <c r="H161" s="1">
        <v>41610</v>
      </c>
      <c r="I161" s="6" t="e">
        <f t="shared" si="38"/>
        <v>#VALUE!</v>
      </c>
      <c r="J161" s="6" t="e">
        <f t="shared" si="39"/>
        <v>#VALUE!</v>
      </c>
      <c r="K161" s="5" t="e">
        <f t="shared" si="32"/>
        <v>#VALUE!</v>
      </c>
      <c r="L161" s="5" t="e">
        <f t="shared" si="33"/>
        <v>#VALUE!</v>
      </c>
      <c r="M161" s="3"/>
      <c r="N161" s="3">
        <v>18000</v>
      </c>
      <c r="O161" s="11">
        <v>1.58</v>
      </c>
      <c r="P161" s="7">
        <f t="shared" si="40"/>
        <v>18000</v>
      </c>
      <c r="Q161" s="7">
        <f t="shared" si="41"/>
        <v>-17998.419999999998</v>
      </c>
      <c r="R161" s="5" t="e">
        <f t="shared" si="34"/>
        <v>#DIV/0!</v>
      </c>
      <c r="S161" s="5">
        <f t="shared" si="35"/>
        <v>-0.99991222222222209</v>
      </c>
      <c r="U161">
        <v>30554</v>
      </c>
      <c r="V161" s="1">
        <f>VLOOKUP(A161,[2]Sheet1!$A:$B,2,0)</f>
        <v>158370</v>
      </c>
      <c r="W161" s="6">
        <f t="shared" si="42"/>
        <v>30554</v>
      </c>
      <c r="X161" s="6">
        <f t="shared" si="43"/>
        <v>127816</v>
      </c>
      <c r="Y161" s="5" t="e">
        <f t="shared" si="36"/>
        <v>#DIV/0!</v>
      </c>
      <c r="Z161" s="5">
        <f t="shared" si="37"/>
        <v>4.1832820579956795</v>
      </c>
      <c r="AA161" s="9">
        <v>-51400</v>
      </c>
      <c r="AB161" s="10">
        <v>-86200</v>
      </c>
      <c r="AD161">
        <v>2728</v>
      </c>
      <c r="AE161" s="1">
        <v>2737</v>
      </c>
      <c r="AF161" s="6">
        <f t="shared" si="44"/>
        <v>2728</v>
      </c>
      <c r="AG161" s="6">
        <f t="shared" si="45"/>
        <v>9</v>
      </c>
      <c r="AH161" s="5" t="e">
        <f t="shared" si="46"/>
        <v>#DIV/0!</v>
      </c>
      <c r="AI161" s="5">
        <f t="shared" si="47"/>
        <v>3.2991202346041057E-3</v>
      </c>
    </row>
    <row r="162" spans="1:35" x14ac:dyDescent="0.25">
      <c r="A162" s="2" t="s">
        <v>163</v>
      </c>
      <c r="B162" t="s">
        <v>215</v>
      </c>
      <c r="C162" t="e">
        <f>VLOOKUP(A162,[1]FO!$A$2:$A$69,2,0)</f>
        <v>#N/A</v>
      </c>
      <c r="D162" s="4" t="e">
        <v>#N/A</v>
      </c>
      <c r="E162" s="10" t="e">
        <v>#N/A</v>
      </c>
      <c r="G162" t="s">
        <v>232</v>
      </c>
      <c r="H162" s="1">
        <v>13327</v>
      </c>
      <c r="I162" s="6" t="e">
        <f t="shared" si="38"/>
        <v>#VALUE!</v>
      </c>
      <c r="J162" s="6" t="e">
        <f t="shared" si="39"/>
        <v>#VALUE!</v>
      </c>
      <c r="K162" s="5" t="e">
        <f t="shared" si="32"/>
        <v>#VALUE!</v>
      </c>
      <c r="L162" s="5" t="e">
        <f t="shared" si="33"/>
        <v>#VALUE!</v>
      </c>
      <c r="M162" s="3"/>
      <c r="N162" s="3" t="e">
        <v>#N/A</v>
      </c>
      <c r="O162" s="11" t="e">
        <v>#N/A</v>
      </c>
      <c r="P162" s="7" t="e">
        <f t="shared" si="40"/>
        <v>#N/A</v>
      </c>
      <c r="Q162" s="7" t="e">
        <f t="shared" si="41"/>
        <v>#N/A</v>
      </c>
      <c r="R162" s="5" t="e">
        <f t="shared" si="34"/>
        <v>#N/A</v>
      </c>
      <c r="S162" s="5" t="e">
        <f t="shared" si="35"/>
        <v>#N/A</v>
      </c>
      <c r="U162">
        <v>7149931</v>
      </c>
      <c r="V162" s="1">
        <f>VLOOKUP(A162,[2]Sheet1!$A:$B,2,0)</f>
        <v>4724206</v>
      </c>
      <c r="W162" s="6">
        <f t="shared" si="42"/>
        <v>7149931</v>
      </c>
      <c r="X162" s="6">
        <f t="shared" si="43"/>
        <v>-2425725</v>
      </c>
      <c r="Y162" s="5" t="e">
        <f t="shared" si="36"/>
        <v>#DIV/0!</v>
      </c>
      <c r="Z162" s="5">
        <f t="shared" si="37"/>
        <v>-0.33926551179305087</v>
      </c>
      <c r="AA162" s="9" t="e">
        <v>#N/A</v>
      </c>
      <c r="AB162" s="10" t="e">
        <v>#N/A</v>
      </c>
      <c r="AD162" t="e">
        <v>#N/A</v>
      </c>
      <c r="AE162" s="1" t="e">
        <v>#N/A</v>
      </c>
      <c r="AF162" s="6" t="e">
        <f t="shared" si="44"/>
        <v>#N/A</v>
      </c>
      <c r="AG162" s="6" t="e">
        <f t="shared" si="45"/>
        <v>#N/A</v>
      </c>
      <c r="AH162" s="5" t="e">
        <f t="shared" si="46"/>
        <v>#N/A</v>
      </c>
      <c r="AI162" s="5" t="e">
        <f t="shared" si="47"/>
        <v>#N/A</v>
      </c>
    </row>
    <row r="163" spans="1:35" x14ac:dyDescent="0.25">
      <c r="A163" s="2" t="s">
        <v>164</v>
      </c>
      <c r="B163" t="s">
        <v>215</v>
      </c>
      <c r="C163" t="e">
        <f>VLOOKUP(A163,[1]FO!$A$2:$A$69,2,0)</f>
        <v>#N/A</v>
      </c>
      <c r="D163" s="4">
        <v>0.95</v>
      </c>
      <c r="E163" s="10">
        <v>23.15</v>
      </c>
      <c r="G163" t="s">
        <v>232</v>
      </c>
      <c r="H163" s="1">
        <v>32915</v>
      </c>
      <c r="I163" s="6" t="e">
        <f t="shared" si="38"/>
        <v>#VALUE!</v>
      </c>
      <c r="J163" s="6" t="e">
        <f t="shared" si="39"/>
        <v>#VALUE!</v>
      </c>
      <c r="K163" s="5" t="e">
        <f t="shared" si="32"/>
        <v>#VALUE!</v>
      </c>
      <c r="L163" s="5" t="e">
        <f t="shared" si="33"/>
        <v>#VALUE!</v>
      </c>
      <c r="M163" s="3"/>
      <c r="N163" s="3">
        <v>1245.45</v>
      </c>
      <c r="O163" s="11">
        <v>6.58</v>
      </c>
      <c r="P163" s="7">
        <f t="shared" si="40"/>
        <v>1245.45</v>
      </c>
      <c r="Q163" s="7">
        <f t="shared" si="41"/>
        <v>-1238.8700000000001</v>
      </c>
      <c r="R163" s="5" t="e">
        <f t="shared" si="34"/>
        <v>#DIV/0!</v>
      </c>
      <c r="S163" s="5">
        <f t="shared" si="35"/>
        <v>-0.99471676903930317</v>
      </c>
      <c r="U163">
        <v>151374</v>
      </c>
      <c r="V163" s="1">
        <f>VLOOKUP(A163,[2]Sheet1!$A:$B,2,0)</f>
        <v>657726</v>
      </c>
      <c r="W163" s="6">
        <f t="shared" si="42"/>
        <v>151374</v>
      </c>
      <c r="X163" s="6">
        <f t="shared" si="43"/>
        <v>506352</v>
      </c>
      <c r="Y163" s="5" t="e">
        <f t="shared" si="36"/>
        <v>#DIV/0!</v>
      </c>
      <c r="Z163" s="5">
        <f t="shared" si="37"/>
        <v>3.3450394387411313</v>
      </c>
      <c r="AA163" s="9">
        <v>-113250</v>
      </c>
      <c r="AB163" s="10">
        <v>-37875</v>
      </c>
      <c r="AD163">
        <v>3938</v>
      </c>
      <c r="AE163" s="1">
        <v>405</v>
      </c>
      <c r="AF163" s="6">
        <f t="shared" si="44"/>
        <v>3938</v>
      </c>
      <c r="AG163" s="6">
        <f t="shared" si="45"/>
        <v>-3533</v>
      </c>
      <c r="AH163" s="5" t="e">
        <f t="shared" si="46"/>
        <v>#DIV/0!</v>
      </c>
      <c r="AI163" s="5">
        <f t="shared" si="47"/>
        <v>-0.89715591670898931</v>
      </c>
    </row>
    <row r="164" spans="1:35" x14ac:dyDescent="0.25">
      <c r="A164" s="2" t="s">
        <v>165</v>
      </c>
      <c r="B164" t="s">
        <v>215</v>
      </c>
      <c r="C164" t="e">
        <f>VLOOKUP(A164,[1]FO!$A$2:$A$69,2,0)</f>
        <v>#N/A</v>
      </c>
      <c r="D164" s="4">
        <v>1.95</v>
      </c>
      <c r="E164" s="10">
        <v>5.2</v>
      </c>
      <c r="G164" t="s">
        <v>232</v>
      </c>
      <c r="H164" s="1">
        <v>32470</v>
      </c>
      <c r="I164" s="6" t="e">
        <f t="shared" si="38"/>
        <v>#VALUE!</v>
      </c>
      <c r="J164" s="6" t="e">
        <f t="shared" si="39"/>
        <v>#VALUE!</v>
      </c>
      <c r="K164" s="5" t="e">
        <f t="shared" si="32"/>
        <v>#VALUE!</v>
      </c>
      <c r="L164" s="5" t="e">
        <f t="shared" si="33"/>
        <v>#VALUE!</v>
      </c>
      <c r="M164" s="3"/>
      <c r="N164" s="3">
        <v>81.55</v>
      </c>
      <c r="O164" s="11">
        <v>65.12</v>
      </c>
      <c r="P164" s="7">
        <f t="shared" si="40"/>
        <v>81.55</v>
      </c>
      <c r="Q164" s="7">
        <f t="shared" si="41"/>
        <v>-16.429999999999993</v>
      </c>
      <c r="R164" s="5" t="e">
        <f t="shared" si="34"/>
        <v>#DIV/0!</v>
      </c>
      <c r="S164" s="5">
        <f t="shared" si="35"/>
        <v>-0.20147148988350697</v>
      </c>
      <c r="U164">
        <v>1534813</v>
      </c>
      <c r="V164" s="1">
        <f>VLOOKUP(A164,[2]Sheet1!$A:$B,2,0)</f>
        <v>6511716</v>
      </c>
      <c r="W164" s="6">
        <f t="shared" si="42"/>
        <v>1534813</v>
      </c>
      <c r="X164" s="6">
        <f t="shared" si="43"/>
        <v>4976903</v>
      </c>
      <c r="Y164" s="5" t="e">
        <f t="shared" si="36"/>
        <v>#DIV/0!</v>
      </c>
      <c r="Z164" s="5">
        <f t="shared" si="37"/>
        <v>3.2426771209261323</v>
      </c>
      <c r="AA164" s="9">
        <v>-5424000</v>
      </c>
      <c r="AB164" s="10">
        <v>-6360000</v>
      </c>
      <c r="AD164">
        <v>1992</v>
      </c>
      <c r="AE164" s="1">
        <v>1550</v>
      </c>
      <c r="AF164" s="6">
        <f t="shared" si="44"/>
        <v>1992</v>
      </c>
      <c r="AG164" s="6">
        <f t="shared" si="45"/>
        <v>-442</v>
      </c>
      <c r="AH164" s="5" t="e">
        <f t="shared" si="46"/>
        <v>#DIV/0!</v>
      </c>
      <c r="AI164" s="5">
        <f t="shared" si="47"/>
        <v>-0.22188755020080322</v>
      </c>
    </row>
    <row r="165" spans="1:35" x14ac:dyDescent="0.25">
      <c r="A165" s="2" t="s">
        <v>166</v>
      </c>
      <c r="B165" t="s">
        <v>215</v>
      </c>
      <c r="C165" t="e">
        <f>VLOOKUP(A165,[1]FO!$A$2:$A$69,2,0)</f>
        <v>#N/A</v>
      </c>
      <c r="D165" s="4" t="e">
        <v>#N/A</v>
      </c>
      <c r="E165" s="10" t="e">
        <v>#N/A</v>
      </c>
      <c r="G165" t="s">
        <v>232</v>
      </c>
      <c r="H165" s="1">
        <v>6325</v>
      </c>
      <c r="I165" s="6" t="e">
        <f t="shared" si="38"/>
        <v>#VALUE!</v>
      </c>
      <c r="J165" s="6" t="e">
        <f t="shared" si="39"/>
        <v>#VALUE!</v>
      </c>
      <c r="K165" s="5" t="e">
        <f t="shared" si="32"/>
        <v>#VALUE!</v>
      </c>
      <c r="L165" s="5" t="e">
        <f t="shared" si="33"/>
        <v>#VALUE!</v>
      </c>
      <c r="M165" s="3"/>
      <c r="N165" s="3" t="e">
        <v>#N/A</v>
      </c>
      <c r="O165" s="11" t="e">
        <v>#N/A</v>
      </c>
      <c r="P165" s="7" t="e">
        <f t="shared" si="40"/>
        <v>#N/A</v>
      </c>
      <c r="Q165" s="7" t="e">
        <f t="shared" si="41"/>
        <v>#N/A</v>
      </c>
      <c r="R165" s="5" t="e">
        <f t="shared" si="34"/>
        <v>#N/A</v>
      </c>
      <c r="S165" s="5" t="e">
        <f t="shared" si="35"/>
        <v>#N/A</v>
      </c>
      <c r="U165">
        <v>38758</v>
      </c>
      <c r="V165" s="1">
        <f>VLOOKUP(A165,[2]Sheet1!$A:$B,2,0)</f>
        <v>41818</v>
      </c>
      <c r="W165" s="6">
        <f t="shared" si="42"/>
        <v>38758</v>
      </c>
      <c r="X165" s="6">
        <f t="shared" si="43"/>
        <v>3060</v>
      </c>
      <c r="Y165" s="5" t="e">
        <f t="shared" si="36"/>
        <v>#DIV/0!</v>
      </c>
      <c r="Z165" s="5">
        <f t="shared" si="37"/>
        <v>7.8951442282883533E-2</v>
      </c>
      <c r="AA165" s="9" t="e">
        <v>#N/A</v>
      </c>
      <c r="AB165" s="10" t="e">
        <v>#N/A</v>
      </c>
      <c r="AD165" t="e">
        <v>#N/A</v>
      </c>
      <c r="AE165" s="1" t="e">
        <v>#N/A</v>
      </c>
      <c r="AF165" s="6" t="e">
        <f t="shared" si="44"/>
        <v>#N/A</v>
      </c>
      <c r="AG165" s="6" t="e">
        <f t="shared" si="45"/>
        <v>#N/A</v>
      </c>
      <c r="AH165" s="5" t="e">
        <f t="shared" si="46"/>
        <v>#N/A</v>
      </c>
      <c r="AI165" s="5" t="e">
        <f t="shared" si="47"/>
        <v>#N/A</v>
      </c>
    </row>
    <row r="166" spans="1:35" x14ac:dyDescent="0.25">
      <c r="A166" s="2" t="s">
        <v>167</v>
      </c>
      <c r="B166" t="s">
        <v>215</v>
      </c>
      <c r="C166" t="e">
        <f>VLOOKUP(A166,[1]FO!$A$2:$A$69,2,0)</f>
        <v>#N/A</v>
      </c>
      <c r="D166" s="4">
        <v>3.8</v>
      </c>
      <c r="E166" s="10" t="e">
        <v>#N/A</v>
      </c>
      <c r="G166" t="s">
        <v>232</v>
      </c>
      <c r="H166" s="1">
        <v>25716</v>
      </c>
      <c r="I166" s="6" t="e">
        <f t="shared" si="38"/>
        <v>#VALUE!</v>
      </c>
      <c r="J166" s="6" t="e">
        <f t="shared" si="39"/>
        <v>#VALUE!</v>
      </c>
      <c r="K166" s="5" t="e">
        <f t="shared" si="32"/>
        <v>#VALUE!</v>
      </c>
      <c r="L166" s="5" t="e">
        <f t="shared" si="33"/>
        <v>#VALUE!</v>
      </c>
      <c r="M166" s="3"/>
      <c r="N166" s="3" t="e">
        <v>#N/A</v>
      </c>
      <c r="O166" s="11" t="e">
        <v>#N/A</v>
      </c>
      <c r="P166" s="7" t="e">
        <f t="shared" si="40"/>
        <v>#N/A</v>
      </c>
      <c r="Q166" s="7" t="e">
        <f t="shared" si="41"/>
        <v>#N/A</v>
      </c>
      <c r="R166" s="5" t="e">
        <f t="shared" si="34"/>
        <v>#N/A</v>
      </c>
      <c r="S166" s="5" t="e">
        <f t="shared" si="35"/>
        <v>#N/A</v>
      </c>
      <c r="U166">
        <v>1072628</v>
      </c>
      <c r="V166" s="1">
        <f>VLOOKUP(A166,[2]Sheet1!$A:$B,2,0)</f>
        <v>3874232</v>
      </c>
      <c r="W166" s="6">
        <f t="shared" si="42"/>
        <v>1072628</v>
      </c>
      <c r="X166" s="6">
        <f t="shared" si="43"/>
        <v>2801604</v>
      </c>
      <c r="Y166" s="5" t="e">
        <f t="shared" si="36"/>
        <v>#DIV/0!</v>
      </c>
      <c r="Z166" s="5">
        <f t="shared" si="37"/>
        <v>2.6119064577840594</v>
      </c>
      <c r="AA166" s="9">
        <v>-907533</v>
      </c>
      <c r="AB166" s="10">
        <v>-836154</v>
      </c>
      <c r="AD166">
        <v>784</v>
      </c>
      <c r="AE166" s="1">
        <v>426</v>
      </c>
      <c r="AF166" s="6">
        <f t="shared" si="44"/>
        <v>784</v>
      </c>
      <c r="AG166" s="6">
        <f t="shared" si="45"/>
        <v>-358</v>
      </c>
      <c r="AH166" s="5" t="e">
        <f t="shared" si="46"/>
        <v>#DIV/0!</v>
      </c>
      <c r="AI166" s="5">
        <f t="shared" si="47"/>
        <v>-0.45663265306122447</v>
      </c>
    </row>
    <row r="167" spans="1:35" x14ac:dyDescent="0.25">
      <c r="A167" s="2" t="s">
        <v>168</v>
      </c>
      <c r="B167" t="s">
        <v>215</v>
      </c>
      <c r="C167" t="e">
        <f>VLOOKUP(A167,[1]FO!$A$2:$A$69,2,0)</f>
        <v>#N/A</v>
      </c>
      <c r="D167" s="4" t="e">
        <v>#N/A</v>
      </c>
      <c r="E167" s="10" t="e">
        <v>#N/A</v>
      </c>
      <c r="G167" t="e">
        <v>#N/A</v>
      </c>
      <c r="H167" s="1" t="e">
        <v>#N/A</v>
      </c>
      <c r="I167" s="6" t="e">
        <f t="shared" si="38"/>
        <v>#N/A</v>
      </c>
      <c r="J167" s="6" t="e">
        <f t="shared" si="39"/>
        <v>#N/A</v>
      </c>
      <c r="K167" s="5" t="e">
        <f t="shared" si="32"/>
        <v>#N/A</v>
      </c>
      <c r="L167" s="5" t="e">
        <f t="shared" si="33"/>
        <v>#N/A</v>
      </c>
      <c r="M167" s="3"/>
      <c r="N167" s="3" t="e">
        <v>#N/A</v>
      </c>
      <c r="O167" s="11" t="e">
        <v>#N/A</v>
      </c>
      <c r="P167" s="7" t="e">
        <f t="shared" si="40"/>
        <v>#N/A</v>
      </c>
      <c r="Q167" s="7" t="e">
        <f t="shared" si="41"/>
        <v>#N/A</v>
      </c>
      <c r="R167" s="5" t="e">
        <f t="shared" si="34"/>
        <v>#N/A</v>
      </c>
      <c r="S167" s="5" t="e">
        <f t="shared" si="35"/>
        <v>#N/A</v>
      </c>
      <c r="U167" t="e">
        <v>#N/A</v>
      </c>
      <c r="V167" s="1" t="e">
        <f>VLOOKUP(A167,[2]Sheet1!$A:$B,2,0)</f>
        <v>#N/A</v>
      </c>
      <c r="W167" s="6" t="e">
        <f t="shared" si="42"/>
        <v>#N/A</v>
      </c>
      <c r="X167" s="6" t="e">
        <f t="shared" si="43"/>
        <v>#N/A</v>
      </c>
      <c r="Y167" s="5" t="e">
        <f t="shared" si="36"/>
        <v>#N/A</v>
      </c>
      <c r="Z167" s="5" t="e">
        <f t="shared" si="37"/>
        <v>#N/A</v>
      </c>
      <c r="AA167" s="9" t="e">
        <v>#N/A</v>
      </c>
      <c r="AB167" s="10" t="e">
        <v>#N/A</v>
      </c>
      <c r="AD167" t="e">
        <v>#N/A</v>
      </c>
      <c r="AE167" s="1" t="e">
        <v>#N/A</v>
      </c>
      <c r="AF167" s="6" t="e">
        <f t="shared" si="44"/>
        <v>#N/A</v>
      </c>
      <c r="AG167" s="6" t="e">
        <f t="shared" si="45"/>
        <v>#N/A</v>
      </c>
      <c r="AH167" s="5" t="e">
        <f t="shared" si="46"/>
        <v>#N/A</v>
      </c>
      <c r="AI167" s="5" t="e">
        <f t="shared" si="47"/>
        <v>#N/A</v>
      </c>
    </row>
    <row r="168" spans="1:35" x14ac:dyDescent="0.25">
      <c r="A168" s="2" t="s">
        <v>169</v>
      </c>
      <c r="B168" t="s">
        <v>215</v>
      </c>
      <c r="C168" t="e">
        <f>VLOOKUP(A168,[1]FO!$A$2:$A$69,2,0)</f>
        <v>#N/A</v>
      </c>
      <c r="D168" s="4">
        <v>-42.2</v>
      </c>
      <c r="E168" s="10">
        <v>250.15</v>
      </c>
      <c r="G168" t="s">
        <v>232</v>
      </c>
      <c r="H168" s="1">
        <v>8771</v>
      </c>
      <c r="I168" s="6" t="e">
        <f t="shared" si="38"/>
        <v>#VALUE!</v>
      </c>
      <c r="J168" s="6" t="e">
        <f t="shared" si="39"/>
        <v>#VALUE!</v>
      </c>
      <c r="K168" s="5" t="e">
        <f t="shared" si="32"/>
        <v>#VALUE!</v>
      </c>
      <c r="L168" s="5" t="e">
        <f t="shared" si="33"/>
        <v>#VALUE!</v>
      </c>
      <c r="M168" s="3"/>
      <c r="N168" s="3">
        <v>18632.599999999999</v>
      </c>
      <c r="O168" s="11">
        <v>0.5</v>
      </c>
      <c r="P168" s="7">
        <f t="shared" si="40"/>
        <v>18632.599999999999</v>
      </c>
      <c r="Q168" s="7">
        <f t="shared" si="41"/>
        <v>-18632.099999999999</v>
      </c>
      <c r="R168" s="5" t="e">
        <f t="shared" si="34"/>
        <v>#DIV/0!</v>
      </c>
      <c r="S168" s="5">
        <f t="shared" si="35"/>
        <v>-0.99997316531240943</v>
      </c>
      <c r="U168">
        <v>25428</v>
      </c>
      <c r="V168" s="1">
        <f>VLOOKUP(A168,[2]Sheet1!$A:$B,2,0)</f>
        <v>49883</v>
      </c>
      <c r="W168" s="6">
        <f t="shared" si="42"/>
        <v>25428</v>
      </c>
      <c r="X168" s="6">
        <f t="shared" si="43"/>
        <v>24455</v>
      </c>
      <c r="Y168" s="5" t="e">
        <f t="shared" si="36"/>
        <v>#DIV/0!</v>
      </c>
      <c r="Z168" s="5">
        <f t="shared" si="37"/>
        <v>0.96173509517067801</v>
      </c>
      <c r="AA168" s="9">
        <v>-64825</v>
      </c>
      <c r="AB168" s="10">
        <v>-6775</v>
      </c>
      <c r="AD168">
        <v>3710</v>
      </c>
      <c r="AE168" s="1">
        <v>604</v>
      </c>
      <c r="AF168" s="6">
        <f t="shared" si="44"/>
        <v>3710</v>
      </c>
      <c r="AG168" s="6">
        <f t="shared" si="45"/>
        <v>-3106</v>
      </c>
      <c r="AH168" s="5" t="e">
        <f t="shared" si="46"/>
        <v>#DIV/0!</v>
      </c>
      <c r="AI168" s="5">
        <f t="shared" si="47"/>
        <v>-0.8371967654986523</v>
      </c>
    </row>
    <row r="169" spans="1:35" x14ac:dyDescent="0.25">
      <c r="A169" s="2" t="s">
        <v>170</v>
      </c>
      <c r="B169" t="s">
        <v>215</v>
      </c>
      <c r="C169" t="e">
        <f>VLOOKUP(A169,[1]FO!$A$2:$A$69,2,0)</f>
        <v>#N/A</v>
      </c>
      <c r="D169" s="4" t="e">
        <v>#N/A</v>
      </c>
      <c r="E169" s="10" t="e">
        <v>#N/A</v>
      </c>
      <c r="G169" t="s">
        <v>235</v>
      </c>
      <c r="H169" s="1">
        <v>2524</v>
      </c>
      <c r="I169" s="6" t="e">
        <f t="shared" si="38"/>
        <v>#VALUE!</v>
      </c>
      <c r="J169" s="6" t="e">
        <f t="shared" si="39"/>
        <v>#VALUE!</v>
      </c>
      <c r="K169" s="5" t="e">
        <f t="shared" si="32"/>
        <v>#VALUE!</v>
      </c>
      <c r="L169" s="5" t="e">
        <f t="shared" si="33"/>
        <v>#VALUE!</v>
      </c>
      <c r="M169" s="3"/>
      <c r="N169" s="3" t="e">
        <v>#N/A</v>
      </c>
      <c r="O169" s="11" t="e">
        <v>#N/A</v>
      </c>
      <c r="P169" s="7" t="e">
        <f t="shared" si="40"/>
        <v>#N/A</v>
      </c>
      <c r="Q169" s="7" t="e">
        <f t="shared" si="41"/>
        <v>#N/A</v>
      </c>
      <c r="R169" s="5" t="e">
        <f t="shared" si="34"/>
        <v>#N/A</v>
      </c>
      <c r="S169" s="5" t="e">
        <f t="shared" si="35"/>
        <v>#N/A</v>
      </c>
      <c r="U169" t="e">
        <v>#N/A</v>
      </c>
      <c r="V169" s="1" t="e">
        <f>VLOOKUP(A169,[2]Sheet1!$A:$B,2,0)</f>
        <v>#N/A</v>
      </c>
      <c r="W169" s="6" t="e">
        <f t="shared" si="42"/>
        <v>#N/A</v>
      </c>
      <c r="X169" s="6" t="e">
        <f t="shared" si="43"/>
        <v>#N/A</v>
      </c>
      <c r="Y169" s="5" t="e">
        <f t="shared" si="36"/>
        <v>#N/A</v>
      </c>
      <c r="Z169" s="5" t="e">
        <f t="shared" si="37"/>
        <v>#N/A</v>
      </c>
      <c r="AA169" s="9" t="e">
        <v>#N/A</v>
      </c>
      <c r="AB169" s="10" t="e">
        <v>#N/A</v>
      </c>
      <c r="AD169" t="e">
        <v>#N/A</v>
      </c>
      <c r="AE169" s="1" t="e">
        <v>#N/A</v>
      </c>
      <c r="AF169" s="6" t="e">
        <f t="shared" si="44"/>
        <v>#N/A</v>
      </c>
      <c r="AG169" s="6" t="e">
        <f t="shared" si="45"/>
        <v>#N/A</v>
      </c>
      <c r="AH169" s="5" t="e">
        <f t="shared" si="46"/>
        <v>#N/A</v>
      </c>
      <c r="AI169" s="5" t="e">
        <f t="shared" si="47"/>
        <v>#N/A</v>
      </c>
    </row>
    <row r="170" spans="1:35" x14ac:dyDescent="0.25">
      <c r="A170" s="2" t="s">
        <v>171</v>
      </c>
      <c r="B170" t="s">
        <v>215</v>
      </c>
      <c r="C170" t="e">
        <f>VLOOKUP(A170,[1]FO!$A$2:$A$69,2,0)</f>
        <v>#N/A</v>
      </c>
      <c r="D170" s="4">
        <v>14</v>
      </c>
      <c r="E170" s="10">
        <v>27.55</v>
      </c>
      <c r="G170" t="s">
        <v>232</v>
      </c>
      <c r="H170" s="1">
        <v>57065</v>
      </c>
      <c r="I170" s="6" t="e">
        <f t="shared" si="38"/>
        <v>#VALUE!</v>
      </c>
      <c r="J170" s="6" t="e">
        <f t="shared" si="39"/>
        <v>#VALUE!</v>
      </c>
      <c r="K170" s="5" t="e">
        <f t="shared" si="32"/>
        <v>#VALUE!</v>
      </c>
      <c r="L170" s="5" t="e">
        <f t="shared" si="33"/>
        <v>#VALUE!</v>
      </c>
      <c r="M170" s="3"/>
      <c r="N170" s="3">
        <v>997.5</v>
      </c>
      <c r="O170" s="11">
        <v>19.38</v>
      </c>
      <c r="P170" s="7">
        <f t="shared" si="40"/>
        <v>997.5</v>
      </c>
      <c r="Q170" s="7">
        <f t="shared" si="41"/>
        <v>-978.12</v>
      </c>
      <c r="R170" s="5" t="e">
        <f t="shared" si="34"/>
        <v>#DIV/0!</v>
      </c>
      <c r="S170" s="5">
        <f t="shared" si="35"/>
        <v>-0.98057142857142854</v>
      </c>
      <c r="U170">
        <v>476312</v>
      </c>
      <c r="V170" s="1">
        <f>VLOOKUP(A170,[2]Sheet1!$A:$B,2,0)</f>
        <v>1938021</v>
      </c>
      <c r="W170" s="6">
        <f t="shared" si="42"/>
        <v>476312</v>
      </c>
      <c r="X170" s="6">
        <f t="shared" si="43"/>
        <v>1461709</v>
      </c>
      <c r="Y170" s="5" t="e">
        <f t="shared" si="36"/>
        <v>#DIV/0!</v>
      </c>
      <c r="Z170" s="5">
        <f t="shared" si="37"/>
        <v>3.068805740774954</v>
      </c>
      <c r="AA170" s="9">
        <v>-855003</v>
      </c>
      <c r="AB170" s="10">
        <v>-212283</v>
      </c>
      <c r="AD170">
        <v>7672</v>
      </c>
      <c r="AE170" s="1">
        <v>2129</v>
      </c>
      <c r="AF170" s="6">
        <f t="shared" si="44"/>
        <v>7672</v>
      </c>
      <c r="AG170" s="6">
        <f t="shared" si="45"/>
        <v>-5543</v>
      </c>
      <c r="AH170" s="5" t="e">
        <f t="shared" si="46"/>
        <v>#DIV/0!</v>
      </c>
      <c r="AI170" s="5">
        <f t="shared" si="47"/>
        <v>-0.72249739311783112</v>
      </c>
    </row>
    <row r="171" spans="1:35" x14ac:dyDescent="0.25">
      <c r="A171" s="2" t="s">
        <v>172</v>
      </c>
      <c r="B171" t="s">
        <v>215</v>
      </c>
      <c r="C171" t="e">
        <f>VLOOKUP(A171,[1]FO!$A$2:$A$69,2,0)</f>
        <v>#N/A</v>
      </c>
      <c r="D171" s="4">
        <v>10.25</v>
      </c>
      <c r="E171" s="10">
        <v>6.8</v>
      </c>
      <c r="G171" t="s">
        <v>232</v>
      </c>
      <c r="H171" s="1">
        <v>56667</v>
      </c>
      <c r="I171" s="6" t="e">
        <f t="shared" si="38"/>
        <v>#VALUE!</v>
      </c>
      <c r="J171" s="6" t="e">
        <f t="shared" si="39"/>
        <v>#VALUE!</v>
      </c>
      <c r="K171" s="5" t="e">
        <f t="shared" si="32"/>
        <v>#VALUE!</v>
      </c>
      <c r="L171" s="5" t="e">
        <f t="shared" si="33"/>
        <v>#VALUE!</v>
      </c>
      <c r="M171" s="3"/>
      <c r="N171" s="3">
        <v>245</v>
      </c>
      <c r="O171" s="11">
        <v>34.76</v>
      </c>
      <c r="P171" s="7">
        <f t="shared" si="40"/>
        <v>245</v>
      </c>
      <c r="Q171" s="7">
        <f t="shared" si="41"/>
        <v>-210.24</v>
      </c>
      <c r="R171" s="5" t="e">
        <f t="shared" si="34"/>
        <v>#DIV/0!</v>
      </c>
      <c r="S171" s="5">
        <f t="shared" si="35"/>
        <v>-0.85812244897959189</v>
      </c>
      <c r="U171">
        <v>1555510</v>
      </c>
      <c r="V171" s="1">
        <f>VLOOKUP(A171,[2]Sheet1!$A:$B,2,0)</f>
        <v>3475780</v>
      </c>
      <c r="W171" s="6">
        <f t="shared" si="42"/>
        <v>1555510</v>
      </c>
      <c r="X171" s="6">
        <f t="shared" si="43"/>
        <v>1920270</v>
      </c>
      <c r="Y171" s="5" t="e">
        <f t="shared" si="36"/>
        <v>#DIV/0!</v>
      </c>
      <c r="Z171" s="5">
        <f t="shared" si="37"/>
        <v>1.2344954387949933</v>
      </c>
      <c r="AA171" s="9">
        <v>-5448000</v>
      </c>
      <c r="AB171" s="10">
        <v>-1101000</v>
      </c>
      <c r="AD171">
        <v>2993</v>
      </c>
      <c r="AE171" s="1">
        <v>1113</v>
      </c>
      <c r="AF171" s="6">
        <f t="shared" si="44"/>
        <v>2993</v>
      </c>
      <c r="AG171" s="6">
        <f t="shared" si="45"/>
        <v>-1880</v>
      </c>
      <c r="AH171" s="5" t="e">
        <f t="shared" si="46"/>
        <v>#DIV/0!</v>
      </c>
      <c r="AI171" s="5">
        <f t="shared" si="47"/>
        <v>-0.62813230872034753</v>
      </c>
    </row>
    <row r="172" spans="1:35" x14ac:dyDescent="0.25">
      <c r="A172" s="2" t="s">
        <v>173</v>
      </c>
      <c r="B172" t="s">
        <v>215</v>
      </c>
      <c r="C172" t="e">
        <f>VLOOKUP(A172,[1]FO!$A$2:$A$69,2,0)</f>
        <v>#N/A</v>
      </c>
      <c r="D172" s="4">
        <v>4.25</v>
      </c>
      <c r="E172" s="10">
        <v>0.65</v>
      </c>
      <c r="G172" t="s">
        <v>232</v>
      </c>
      <c r="H172" s="1">
        <v>50276</v>
      </c>
      <c r="I172" s="6" t="e">
        <f t="shared" si="38"/>
        <v>#VALUE!</v>
      </c>
      <c r="J172" s="6" t="e">
        <f t="shared" si="39"/>
        <v>#VALUE!</v>
      </c>
      <c r="K172" s="5" t="e">
        <f t="shared" si="32"/>
        <v>#VALUE!</v>
      </c>
      <c r="L172" s="5" t="e">
        <f t="shared" si="33"/>
        <v>#VALUE!</v>
      </c>
      <c r="M172" s="3"/>
      <c r="N172" s="3">
        <v>96.6</v>
      </c>
      <c r="O172" s="11">
        <v>70.03</v>
      </c>
      <c r="P172" s="7">
        <f t="shared" si="40"/>
        <v>96.6</v>
      </c>
      <c r="Q172" s="7">
        <f t="shared" si="41"/>
        <v>-26.569999999999993</v>
      </c>
      <c r="R172" s="5" t="e">
        <f t="shared" si="34"/>
        <v>#DIV/0!</v>
      </c>
      <c r="S172" s="5">
        <f t="shared" si="35"/>
        <v>-0.27505175983436847</v>
      </c>
      <c r="U172">
        <v>1099996</v>
      </c>
      <c r="V172" s="1">
        <f>VLOOKUP(A172,[2]Sheet1!$A:$B,2,0)</f>
        <v>7003472</v>
      </c>
      <c r="W172" s="6">
        <f t="shared" si="42"/>
        <v>1099996</v>
      </c>
      <c r="X172" s="6">
        <f t="shared" si="43"/>
        <v>5903476</v>
      </c>
      <c r="Y172" s="5" t="e">
        <f t="shared" si="36"/>
        <v>#DIV/0!</v>
      </c>
      <c r="Z172" s="5">
        <f t="shared" si="37"/>
        <v>5.3668158793304706</v>
      </c>
      <c r="AA172" s="9">
        <v>-11240600</v>
      </c>
      <c r="AB172" s="10">
        <v>-4445400</v>
      </c>
      <c r="AD172">
        <v>3029</v>
      </c>
      <c r="AE172" s="1">
        <v>1667</v>
      </c>
      <c r="AF172" s="6">
        <f t="shared" si="44"/>
        <v>3029</v>
      </c>
      <c r="AG172" s="6">
        <f t="shared" si="45"/>
        <v>-1362</v>
      </c>
      <c r="AH172" s="5" t="e">
        <f t="shared" si="46"/>
        <v>#DIV/0!</v>
      </c>
      <c r="AI172" s="5">
        <f t="shared" si="47"/>
        <v>-0.44965335094090458</v>
      </c>
    </row>
    <row r="173" spans="1:35" x14ac:dyDescent="0.25">
      <c r="A173" s="2" t="s">
        <v>174</v>
      </c>
      <c r="B173" t="s">
        <v>215</v>
      </c>
      <c r="C173" t="e">
        <f>VLOOKUP(A173,[1]FO!$A$2:$A$69,2,0)</f>
        <v>#N/A</v>
      </c>
      <c r="D173" s="4">
        <v>-27.45</v>
      </c>
      <c r="E173" s="10">
        <v>5.2</v>
      </c>
      <c r="G173" t="s">
        <v>232</v>
      </c>
      <c r="H173" s="1">
        <v>51178</v>
      </c>
      <c r="I173" s="6" t="e">
        <f t="shared" si="38"/>
        <v>#VALUE!</v>
      </c>
      <c r="J173" s="6" t="e">
        <f t="shared" si="39"/>
        <v>#VALUE!</v>
      </c>
      <c r="K173" s="5" t="e">
        <f t="shared" si="32"/>
        <v>#VALUE!</v>
      </c>
      <c r="L173" s="5" t="e">
        <f t="shared" si="33"/>
        <v>#VALUE!</v>
      </c>
      <c r="M173" s="3"/>
      <c r="N173" s="3">
        <v>1542.65</v>
      </c>
      <c r="O173" s="11">
        <v>8.15</v>
      </c>
      <c r="P173" s="7">
        <f t="shared" si="40"/>
        <v>1542.65</v>
      </c>
      <c r="Q173" s="7">
        <f t="shared" si="41"/>
        <v>-1534.5</v>
      </c>
      <c r="R173" s="5" t="e">
        <f t="shared" si="34"/>
        <v>#DIV/0!</v>
      </c>
      <c r="S173" s="5">
        <f t="shared" si="35"/>
        <v>-0.99471688328525587</v>
      </c>
      <c r="U173">
        <v>157768</v>
      </c>
      <c r="V173" s="1">
        <f>VLOOKUP(A173,[2]Sheet1!$A:$B,2,0)</f>
        <v>814819</v>
      </c>
      <c r="W173" s="6">
        <f t="shared" si="42"/>
        <v>157768</v>
      </c>
      <c r="X173" s="6">
        <f t="shared" si="43"/>
        <v>657051</v>
      </c>
      <c r="Y173" s="5" t="e">
        <f t="shared" si="36"/>
        <v>#DIV/0!</v>
      </c>
      <c r="Z173" s="5">
        <f t="shared" si="37"/>
        <v>4.164665838446326</v>
      </c>
      <c r="AA173" s="9">
        <v>-534500</v>
      </c>
      <c r="AB173" s="10">
        <v>-171500</v>
      </c>
      <c r="AD173">
        <v>2991</v>
      </c>
      <c r="AE173" s="1">
        <v>1022</v>
      </c>
      <c r="AF173" s="6">
        <f t="shared" si="44"/>
        <v>2991</v>
      </c>
      <c r="AG173" s="6">
        <f t="shared" si="45"/>
        <v>-1969</v>
      </c>
      <c r="AH173" s="5" t="e">
        <f t="shared" si="46"/>
        <v>#DIV/0!</v>
      </c>
      <c r="AI173" s="5">
        <f t="shared" si="47"/>
        <v>-0.65830825810765625</v>
      </c>
    </row>
    <row r="174" spans="1:35" x14ac:dyDescent="0.25">
      <c r="A174" s="2" t="s">
        <v>175</v>
      </c>
      <c r="B174" t="s">
        <v>215</v>
      </c>
      <c r="C174" t="e">
        <f>VLOOKUP(A174,[1]FO!$A$2:$A$69,2,0)</f>
        <v>#N/A</v>
      </c>
      <c r="D174" s="4">
        <v>1.05</v>
      </c>
      <c r="E174" s="10">
        <v>0.1</v>
      </c>
      <c r="G174" t="s">
        <v>232</v>
      </c>
      <c r="H174" s="1">
        <v>57094</v>
      </c>
      <c r="I174" s="6" t="e">
        <f t="shared" si="38"/>
        <v>#VALUE!</v>
      </c>
      <c r="J174" s="6" t="e">
        <f t="shared" si="39"/>
        <v>#VALUE!</v>
      </c>
      <c r="K174" s="5" t="e">
        <f t="shared" si="32"/>
        <v>#VALUE!</v>
      </c>
      <c r="L174" s="5" t="e">
        <f t="shared" si="33"/>
        <v>#VALUE!</v>
      </c>
      <c r="M174" s="3"/>
      <c r="N174" s="3">
        <v>33.700000000000003</v>
      </c>
      <c r="O174" s="11">
        <v>314.67</v>
      </c>
      <c r="P174" s="7">
        <f t="shared" si="40"/>
        <v>33.700000000000003</v>
      </c>
      <c r="Q174" s="7">
        <f t="shared" si="41"/>
        <v>280.97000000000003</v>
      </c>
      <c r="R174" s="5" t="e">
        <f t="shared" si="34"/>
        <v>#DIV/0!</v>
      </c>
      <c r="S174" s="5">
        <f t="shared" si="35"/>
        <v>8.337388724035609</v>
      </c>
      <c r="U174">
        <v>2761490</v>
      </c>
      <c r="V174" s="1">
        <f>VLOOKUP(A174,[2]Sheet1!$A:$B,2,0)</f>
        <v>31467001</v>
      </c>
      <c r="W174" s="6">
        <f t="shared" si="42"/>
        <v>2761490</v>
      </c>
      <c r="X174" s="6">
        <f t="shared" si="43"/>
        <v>28705511</v>
      </c>
      <c r="Y174" s="5" t="e">
        <f t="shared" si="36"/>
        <v>#DIV/0!</v>
      </c>
      <c r="Z174" s="5">
        <f t="shared" si="37"/>
        <v>10.394935704999837</v>
      </c>
      <c r="AA174" s="9">
        <v>-11893900</v>
      </c>
      <c r="AB174" s="10">
        <v>-14317500</v>
      </c>
      <c r="AD174">
        <v>3631</v>
      </c>
      <c r="AE174" s="1">
        <v>3685</v>
      </c>
      <c r="AF174" s="6">
        <f t="shared" si="44"/>
        <v>3631</v>
      </c>
      <c r="AG174" s="6">
        <f t="shared" si="45"/>
        <v>54</v>
      </c>
      <c r="AH174" s="5" t="e">
        <f t="shared" si="46"/>
        <v>#DIV/0!</v>
      </c>
      <c r="AI174" s="5">
        <f t="shared" si="47"/>
        <v>1.487193610575599E-2</v>
      </c>
    </row>
    <row r="175" spans="1:35" x14ac:dyDescent="0.25">
      <c r="A175" s="2" t="s">
        <v>176</v>
      </c>
      <c r="B175" t="s">
        <v>215</v>
      </c>
      <c r="C175" t="e">
        <f>VLOOKUP(A175,[1]FO!$A$2:$A$69,2,0)</f>
        <v>#N/A</v>
      </c>
      <c r="D175" s="4" t="e">
        <v>#N/A</v>
      </c>
      <c r="E175" s="10" t="e">
        <v>#N/A</v>
      </c>
      <c r="G175" t="s">
        <v>232</v>
      </c>
      <c r="H175" s="1">
        <v>5850</v>
      </c>
      <c r="I175" s="6" t="e">
        <f t="shared" si="38"/>
        <v>#VALUE!</v>
      </c>
      <c r="J175" s="6" t="e">
        <f t="shared" si="39"/>
        <v>#VALUE!</v>
      </c>
      <c r="K175" s="5" t="e">
        <f t="shared" si="32"/>
        <v>#VALUE!</v>
      </c>
      <c r="L175" s="5" t="e">
        <f t="shared" si="33"/>
        <v>#VALUE!</v>
      </c>
      <c r="M175" s="3"/>
      <c r="N175" s="3" t="e">
        <v>#N/A</v>
      </c>
      <c r="O175" s="11" t="e">
        <v>#N/A</v>
      </c>
      <c r="P175" s="7" t="e">
        <f t="shared" si="40"/>
        <v>#N/A</v>
      </c>
      <c r="Q175" s="7" t="e">
        <f t="shared" si="41"/>
        <v>#N/A</v>
      </c>
      <c r="R175" s="5" t="e">
        <f t="shared" si="34"/>
        <v>#N/A</v>
      </c>
      <c r="S175" s="5" t="e">
        <f t="shared" si="35"/>
        <v>#N/A</v>
      </c>
      <c r="U175">
        <v>200248</v>
      </c>
      <c r="V175" s="1">
        <f>VLOOKUP(A175,[2]Sheet1!$A:$B,2,0)</f>
        <v>869345</v>
      </c>
      <c r="W175" s="6">
        <f t="shared" si="42"/>
        <v>200248</v>
      </c>
      <c r="X175" s="6">
        <f t="shared" si="43"/>
        <v>669097</v>
      </c>
      <c r="Y175" s="5" t="e">
        <f t="shared" si="36"/>
        <v>#DIV/0!</v>
      </c>
      <c r="Z175" s="5">
        <f t="shared" si="37"/>
        <v>3.3413417362470534</v>
      </c>
      <c r="AA175" s="9" t="e">
        <v>#N/A</v>
      </c>
      <c r="AB175" s="10" t="e">
        <v>#N/A</v>
      </c>
      <c r="AD175" t="e">
        <v>#N/A</v>
      </c>
      <c r="AE175" s="1" t="e">
        <v>#N/A</v>
      </c>
      <c r="AF175" s="6" t="e">
        <f t="shared" si="44"/>
        <v>#N/A</v>
      </c>
      <c r="AG175" s="6" t="e">
        <f t="shared" si="45"/>
        <v>#N/A</v>
      </c>
      <c r="AH175" s="5" t="e">
        <f t="shared" si="46"/>
        <v>#N/A</v>
      </c>
      <c r="AI175" s="5" t="e">
        <f t="shared" si="47"/>
        <v>#N/A</v>
      </c>
    </row>
    <row r="176" spans="1:35" x14ac:dyDescent="0.25">
      <c r="A176" s="2" t="s">
        <v>177</v>
      </c>
      <c r="B176" t="s">
        <v>215</v>
      </c>
      <c r="C176" t="e">
        <f>VLOOKUP(A176,[1]FO!$A$2:$A$69,2,0)</f>
        <v>#N/A</v>
      </c>
      <c r="D176" s="4">
        <v>28.8</v>
      </c>
      <c r="E176" s="10">
        <v>-4.25</v>
      </c>
      <c r="G176" t="s">
        <v>232</v>
      </c>
      <c r="H176" s="1">
        <v>82889</v>
      </c>
      <c r="I176" s="6" t="e">
        <f t="shared" si="38"/>
        <v>#VALUE!</v>
      </c>
      <c r="J176" s="6" t="e">
        <f t="shared" si="39"/>
        <v>#VALUE!</v>
      </c>
      <c r="K176" s="5" t="e">
        <f t="shared" si="32"/>
        <v>#VALUE!</v>
      </c>
      <c r="L176" s="5" t="e">
        <f t="shared" si="33"/>
        <v>#VALUE!</v>
      </c>
      <c r="M176" s="3"/>
      <c r="N176" s="3">
        <v>1059.95</v>
      </c>
      <c r="O176" s="11">
        <v>16.440000000000001</v>
      </c>
      <c r="P176" s="7">
        <f t="shared" si="40"/>
        <v>1059.95</v>
      </c>
      <c r="Q176" s="7">
        <f t="shared" si="41"/>
        <v>-1043.51</v>
      </c>
      <c r="R176" s="5" t="e">
        <f t="shared" si="34"/>
        <v>#DIV/0!</v>
      </c>
      <c r="S176" s="5">
        <f t="shared" si="35"/>
        <v>-0.98448983442615212</v>
      </c>
      <c r="U176">
        <v>99568</v>
      </c>
      <c r="V176" s="1">
        <f>VLOOKUP(A176,[2]Sheet1!$A:$B,2,0)</f>
        <v>1644235</v>
      </c>
      <c r="W176" s="6">
        <f t="shared" si="42"/>
        <v>99568</v>
      </c>
      <c r="X176" s="6">
        <f t="shared" si="43"/>
        <v>1544667</v>
      </c>
      <c r="Y176" s="5" t="e">
        <f t="shared" si="36"/>
        <v>#DIV/0!</v>
      </c>
      <c r="Z176" s="5">
        <f t="shared" si="37"/>
        <v>15.513689137072152</v>
      </c>
      <c r="AA176" s="9">
        <v>-238000</v>
      </c>
      <c r="AB176" s="10">
        <v>-420000</v>
      </c>
      <c r="AD176">
        <v>3069</v>
      </c>
      <c r="AE176" s="1">
        <v>2452</v>
      </c>
      <c r="AF176" s="6">
        <f t="shared" si="44"/>
        <v>3069</v>
      </c>
      <c r="AG176" s="6">
        <f t="shared" si="45"/>
        <v>-617</v>
      </c>
      <c r="AH176" s="5" t="e">
        <f t="shared" si="46"/>
        <v>#DIV/0!</v>
      </c>
      <c r="AI176" s="5">
        <f t="shared" si="47"/>
        <v>-0.20104268491365265</v>
      </c>
    </row>
    <row r="177" spans="1:35" x14ac:dyDescent="0.25">
      <c r="A177" s="2" t="s">
        <v>178</v>
      </c>
      <c r="B177" t="s">
        <v>215</v>
      </c>
      <c r="C177" t="e">
        <f>VLOOKUP(A177,[1]FO!$A$2:$A$69,2,0)</f>
        <v>#N/A</v>
      </c>
      <c r="D177" s="4">
        <v>14</v>
      </c>
      <c r="E177" s="10">
        <v>7</v>
      </c>
      <c r="G177" t="s">
        <v>232</v>
      </c>
      <c r="H177" s="1">
        <v>14319</v>
      </c>
      <c r="I177" s="6" t="e">
        <f t="shared" si="38"/>
        <v>#VALUE!</v>
      </c>
      <c r="J177" s="6" t="e">
        <f t="shared" si="39"/>
        <v>#VALUE!</v>
      </c>
      <c r="K177" s="5" t="e">
        <f t="shared" si="32"/>
        <v>#VALUE!</v>
      </c>
      <c r="L177" s="5" t="e">
        <f t="shared" si="33"/>
        <v>#VALUE!</v>
      </c>
      <c r="M177" s="3"/>
      <c r="N177" s="3">
        <v>577.29999999999995</v>
      </c>
      <c r="O177" s="11">
        <v>6.04</v>
      </c>
      <c r="P177" s="7">
        <f t="shared" si="40"/>
        <v>577.29999999999995</v>
      </c>
      <c r="Q177" s="7">
        <f t="shared" si="41"/>
        <v>-571.26</v>
      </c>
      <c r="R177" s="5" t="e">
        <f t="shared" si="34"/>
        <v>#DIV/0!</v>
      </c>
      <c r="S177" s="5">
        <f t="shared" si="35"/>
        <v>-0.98953750216525205</v>
      </c>
      <c r="U177">
        <v>198496</v>
      </c>
      <c r="V177" s="1">
        <f>VLOOKUP(A177,[2]Sheet1!$A:$B,2,0)</f>
        <v>604372</v>
      </c>
      <c r="W177" s="6">
        <f t="shared" si="42"/>
        <v>198496</v>
      </c>
      <c r="X177" s="6">
        <f t="shared" si="43"/>
        <v>405876</v>
      </c>
      <c r="Y177" s="5" t="e">
        <f t="shared" si="36"/>
        <v>#DIV/0!</v>
      </c>
      <c r="Z177" s="5">
        <f t="shared" si="37"/>
        <v>2.0447565694019021</v>
      </c>
      <c r="AA177" s="9">
        <v>-168800</v>
      </c>
      <c r="AB177" s="10">
        <v>-111200</v>
      </c>
      <c r="AD177">
        <v>716</v>
      </c>
      <c r="AE177" s="1">
        <v>438</v>
      </c>
      <c r="AF177" s="6">
        <f t="shared" si="44"/>
        <v>716</v>
      </c>
      <c r="AG177" s="6">
        <f t="shared" si="45"/>
        <v>-278</v>
      </c>
      <c r="AH177" s="5" t="e">
        <f t="shared" si="46"/>
        <v>#DIV/0!</v>
      </c>
      <c r="AI177" s="5">
        <f t="shared" si="47"/>
        <v>-0.38826815642458101</v>
      </c>
    </row>
    <row r="178" spans="1:35" x14ac:dyDescent="0.25">
      <c r="A178" s="2" t="s">
        <v>179</v>
      </c>
      <c r="B178" t="s">
        <v>215</v>
      </c>
      <c r="C178" t="e">
        <f>VLOOKUP(A178,[1]FO!$A$2:$A$69,2,0)</f>
        <v>#N/A</v>
      </c>
      <c r="D178" s="4" t="e">
        <v>#N/A</v>
      </c>
      <c r="E178" s="10" t="e">
        <v>#N/A</v>
      </c>
      <c r="G178" t="s">
        <v>232</v>
      </c>
      <c r="H178" s="1">
        <v>8243</v>
      </c>
      <c r="I178" s="6" t="e">
        <f t="shared" si="38"/>
        <v>#VALUE!</v>
      </c>
      <c r="J178" s="6" t="e">
        <f t="shared" si="39"/>
        <v>#VALUE!</v>
      </c>
      <c r="K178" s="5" t="e">
        <f t="shared" si="32"/>
        <v>#VALUE!</v>
      </c>
      <c r="L178" s="5" t="e">
        <f t="shared" si="33"/>
        <v>#VALUE!</v>
      </c>
      <c r="M178" s="3"/>
      <c r="N178" s="3" t="e">
        <v>#N/A</v>
      </c>
      <c r="O178" s="11" t="e">
        <v>#N/A</v>
      </c>
      <c r="P178" s="7" t="e">
        <f t="shared" si="40"/>
        <v>#N/A</v>
      </c>
      <c r="Q178" s="7" t="e">
        <f t="shared" si="41"/>
        <v>#N/A</v>
      </c>
      <c r="R178" s="5" t="e">
        <f t="shared" si="34"/>
        <v>#N/A</v>
      </c>
      <c r="S178" s="5" t="e">
        <f t="shared" si="35"/>
        <v>#N/A</v>
      </c>
      <c r="U178">
        <v>162469</v>
      </c>
      <c r="V178" s="1">
        <f>VLOOKUP(A178,[2]Sheet1!$A:$B,2,0)</f>
        <v>385838</v>
      </c>
      <c r="W178" s="6">
        <f t="shared" si="42"/>
        <v>162469</v>
      </c>
      <c r="X178" s="6">
        <f t="shared" si="43"/>
        <v>223369</v>
      </c>
      <c r="Y178" s="5" t="e">
        <f t="shared" si="36"/>
        <v>#DIV/0!</v>
      </c>
      <c r="Z178" s="5">
        <f t="shared" si="37"/>
        <v>1.3748407388486419</v>
      </c>
      <c r="AA178" s="9" t="e">
        <v>#N/A</v>
      </c>
      <c r="AB178" s="10" t="e">
        <v>#N/A</v>
      </c>
      <c r="AD178" t="e">
        <v>#N/A</v>
      </c>
      <c r="AE178" s="1" t="e">
        <v>#N/A</v>
      </c>
      <c r="AF178" s="6" t="e">
        <f t="shared" si="44"/>
        <v>#N/A</v>
      </c>
      <c r="AG178" s="6" t="e">
        <f t="shared" si="45"/>
        <v>#N/A</v>
      </c>
      <c r="AH178" s="5" t="e">
        <f t="shared" si="46"/>
        <v>#N/A</v>
      </c>
      <c r="AI178" s="5" t="e">
        <f t="shared" si="47"/>
        <v>#N/A</v>
      </c>
    </row>
    <row r="179" spans="1:35" x14ac:dyDescent="0.25">
      <c r="A179" s="2" t="s">
        <v>180</v>
      </c>
      <c r="B179" t="s">
        <v>215</v>
      </c>
      <c r="C179" t="e">
        <f>VLOOKUP(A179,[1]FO!$A$2:$A$69,2,0)</f>
        <v>#N/A</v>
      </c>
      <c r="D179" s="4">
        <v>-1.25</v>
      </c>
      <c r="E179" s="10">
        <v>5.85</v>
      </c>
      <c r="G179" t="s">
        <v>232</v>
      </c>
      <c r="H179" s="1">
        <v>224608</v>
      </c>
      <c r="I179" s="6" t="e">
        <f t="shared" si="38"/>
        <v>#VALUE!</v>
      </c>
      <c r="J179" s="6" t="e">
        <f t="shared" si="39"/>
        <v>#VALUE!</v>
      </c>
      <c r="K179" s="5" t="e">
        <f t="shared" si="32"/>
        <v>#VALUE!</v>
      </c>
      <c r="L179" s="5" t="e">
        <f t="shared" si="33"/>
        <v>#VALUE!</v>
      </c>
      <c r="M179" s="3"/>
      <c r="N179" s="3">
        <v>136.5</v>
      </c>
      <c r="O179" s="11">
        <v>408.09</v>
      </c>
      <c r="P179" s="7">
        <f t="shared" si="40"/>
        <v>136.5</v>
      </c>
      <c r="Q179" s="7">
        <f t="shared" si="41"/>
        <v>271.58999999999997</v>
      </c>
      <c r="R179" s="5" t="e">
        <f t="shared" si="34"/>
        <v>#DIV/0!</v>
      </c>
      <c r="S179" s="5">
        <f t="shared" si="35"/>
        <v>1.9896703296703295</v>
      </c>
      <c r="U179">
        <v>7214394</v>
      </c>
      <c r="V179" s="1">
        <f>VLOOKUP(A179,[2]Sheet1!$A:$B,2,0)</f>
        <v>40809290</v>
      </c>
      <c r="W179" s="6">
        <f t="shared" si="42"/>
        <v>7214394</v>
      </c>
      <c r="X179" s="6">
        <f t="shared" si="43"/>
        <v>33594896</v>
      </c>
      <c r="Y179" s="5" t="e">
        <f t="shared" si="36"/>
        <v>#DIV/0!</v>
      </c>
      <c r="Z179" s="5">
        <f t="shared" si="37"/>
        <v>4.6566483615948897</v>
      </c>
      <c r="AA179" s="9">
        <v>-2803500</v>
      </c>
      <c r="AB179" s="10">
        <v>-3577500</v>
      </c>
      <c r="AD179">
        <v>19733</v>
      </c>
      <c r="AE179" s="1">
        <v>10617</v>
      </c>
      <c r="AF179" s="6">
        <f t="shared" si="44"/>
        <v>19733</v>
      </c>
      <c r="AG179" s="6">
        <f t="shared" si="45"/>
        <v>-9116</v>
      </c>
      <c r="AH179" s="5" t="e">
        <f t="shared" si="46"/>
        <v>#DIV/0!</v>
      </c>
      <c r="AI179" s="5">
        <f t="shared" si="47"/>
        <v>-0.46196726296052298</v>
      </c>
    </row>
    <row r="180" spans="1:35" x14ac:dyDescent="0.25">
      <c r="A180" s="2" t="s">
        <v>181</v>
      </c>
      <c r="B180" t="s">
        <v>215</v>
      </c>
      <c r="C180" t="e">
        <f>VLOOKUP(A180,[1]FO!$A$2:$A$69,2,0)</f>
        <v>#N/A</v>
      </c>
      <c r="D180" s="4" t="e">
        <v>#N/A</v>
      </c>
      <c r="E180" s="10" t="e">
        <v>#N/A</v>
      </c>
      <c r="G180" t="s">
        <v>232</v>
      </c>
      <c r="H180" s="1">
        <v>59345</v>
      </c>
      <c r="I180" s="6" t="e">
        <f t="shared" si="38"/>
        <v>#VALUE!</v>
      </c>
      <c r="J180" s="6" t="e">
        <f t="shared" si="39"/>
        <v>#VALUE!</v>
      </c>
      <c r="K180" s="5" t="e">
        <f t="shared" si="32"/>
        <v>#VALUE!</v>
      </c>
      <c r="L180" s="5" t="e">
        <f t="shared" si="33"/>
        <v>#VALUE!</v>
      </c>
      <c r="M180" s="3"/>
      <c r="N180" s="3" t="e">
        <v>#N/A</v>
      </c>
      <c r="O180" s="11" t="e">
        <v>#N/A</v>
      </c>
      <c r="P180" s="7" t="e">
        <f t="shared" si="40"/>
        <v>#N/A</v>
      </c>
      <c r="Q180" s="7" t="e">
        <f t="shared" si="41"/>
        <v>#N/A</v>
      </c>
      <c r="R180" s="5" t="e">
        <f t="shared" si="34"/>
        <v>#N/A</v>
      </c>
      <c r="S180" s="5" t="e">
        <f t="shared" si="35"/>
        <v>#N/A</v>
      </c>
      <c r="U180">
        <v>7288738</v>
      </c>
      <c r="V180" s="1">
        <f>VLOOKUP(A180,[2]Sheet1!$A:$B,2,0)</f>
        <v>133119301</v>
      </c>
      <c r="W180" s="6">
        <f t="shared" si="42"/>
        <v>7288738</v>
      </c>
      <c r="X180" s="6">
        <f t="shared" si="43"/>
        <v>125830563</v>
      </c>
      <c r="Y180" s="5" t="e">
        <f t="shared" si="36"/>
        <v>#DIV/0!</v>
      </c>
      <c r="Z180" s="5">
        <f t="shared" si="37"/>
        <v>17.263696815552979</v>
      </c>
      <c r="AA180" s="9" t="e">
        <v>#N/A</v>
      </c>
      <c r="AB180" s="10" t="e">
        <v>#N/A</v>
      </c>
      <c r="AD180" t="e">
        <v>#N/A</v>
      </c>
      <c r="AE180" s="1" t="e">
        <v>#N/A</v>
      </c>
      <c r="AF180" s="6" t="e">
        <f t="shared" si="44"/>
        <v>#N/A</v>
      </c>
      <c r="AG180" s="6" t="e">
        <f t="shared" si="45"/>
        <v>#N/A</v>
      </c>
      <c r="AH180" s="5" t="e">
        <f t="shared" si="46"/>
        <v>#N/A</v>
      </c>
      <c r="AI180" s="5" t="e">
        <f t="shared" si="47"/>
        <v>#N/A</v>
      </c>
    </row>
    <row r="181" spans="1:35" x14ac:dyDescent="0.25">
      <c r="A181" s="2" t="s">
        <v>182</v>
      </c>
      <c r="B181" t="s">
        <v>215</v>
      </c>
      <c r="C181" t="e">
        <f>VLOOKUP(A181,[1]FO!$A$2:$A$69,2,0)</f>
        <v>#N/A</v>
      </c>
      <c r="D181" s="4">
        <v>4.5</v>
      </c>
      <c r="E181" s="10">
        <v>2.25</v>
      </c>
      <c r="G181" t="s">
        <v>232</v>
      </c>
      <c r="H181" s="1">
        <v>52964</v>
      </c>
      <c r="I181" s="6" t="e">
        <f t="shared" si="38"/>
        <v>#VALUE!</v>
      </c>
      <c r="J181" s="6" t="e">
        <f t="shared" si="39"/>
        <v>#VALUE!</v>
      </c>
      <c r="K181" s="5" t="e">
        <f t="shared" si="32"/>
        <v>#VALUE!</v>
      </c>
      <c r="L181" s="5" t="e">
        <f t="shared" si="33"/>
        <v>#VALUE!</v>
      </c>
      <c r="M181" s="3"/>
      <c r="N181" s="3">
        <v>96.25</v>
      </c>
      <c r="O181" s="11">
        <v>86.38</v>
      </c>
      <c r="P181" s="7">
        <f t="shared" si="40"/>
        <v>96.25</v>
      </c>
      <c r="Q181" s="7">
        <f t="shared" si="41"/>
        <v>-9.8700000000000045</v>
      </c>
      <c r="R181" s="5" t="e">
        <f t="shared" si="34"/>
        <v>#DIV/0!</v>
      </c>
      <c r="S181" s="5">
        <f t="shared" si="35"/>
        <v>-0.10254545454545459</v>
      </c>
      <c r="U181">
        <v>1604303</v>
      </c>
      <c r="V181" s="1">
        <f>VLOOKUP(A181,[2]Sheet1!$A:$B,2,0)</f>
        <v>8638236</v>
      </c>
      <c r="W181" s="6">
        <f t="shared" si="42"/>
        <v>1604303</v>
      </c>
      <c r="X181" s="6">
        <f t="shared" si="43"/>
        <v>7033933</v>
      </c>
      <c r="Y181" s="5" t="e">
        <f t="shared" si="36"/>
        <v>#DIV/0!</v>
      </c>
      <c r="Z181" s="5">
        <f t="shared" si="37"/>
        <v>4.3844167841112309</v>
      </c>
      <c r="AA181" s="9">
        <v>-5850000</v>
      </c>
      <c r="AB181" s="10">
        <v>-5274000</v>
      </c>
      <c r="AD181">
        <v>1942</v>
      </c>
      <c r="AE181" s="1">
        <v>1458</v>
      </c>
      <c r="AF181" s="6">
        <f t="shared" si="44"/>
        <v>1942</v>
      </c>
      <c r="AG181" s="6">
        <f t="shared" si="45"/>
        <v>-484</v>
      </c>
      <c r="AH181" s="5" t="e">
        <f t="shared" si="46"/>
        <v>#DIV/0!</v>
      </c>
      <c r="AI181" s="5">
        <f t="shared" si="47"/>
        <v>-0.24922760041194644</v>
      </c>
    </row>
    <row r="182" spans="1:35" x14ac:dyDescent="0.25">
      <c r="A182" s="2" t="s">
        <v>183</v>
      </c>
      <c r="B182" t="s">
        <v>215</v>
      </c>
      <c r="C182" t="e">
        <f>VLOOKUP(A182,[1]FO!$A$2:$A$69,2,0)</f>
        <v>#N/A</v>
      </c>
      <c r="D182" s="4" t="e">
        <v>#N/A</v>
      </c>
      <c r="E182" s="10" t="e">
        <v>#N/A</v>
      </c>
      <c r="G182" t="s">
        <v>232</v>
      </c>
      <c r="H182" s="1">
        <v>14973</v>
      </c>
      <c r="I182" s="6" t="e">
        <f t="shared" si="38"/>
        <v>#VALUE!</v>
      </c>
      <c r="J182" s="6" t="e">
        <f t="shared" si="39"/>
        <v>#VALUE!</v>
      </c>
      <c r="K182" s="5" t="e">
        <f t="shared" si="32"/>
        <v>#VALUE!</v>
      </c>
      <c r="L182" s="5" t="e">
        <f t="shared" si="33"/>
        <v>#VALUE!</v>
      </c>
      <c r="M182" s="3"/>
      <c r="N182" s="3" t="e">
        <v>#N/A</v>
      </c>
      <c r="O182" s="11" t="e">
        <v>#N/A</v>
      </c>
      <c r="P182" s="7" t="e">
        <f t="shared" si="40"/>
        <v>#N/A</v>
      </c>
      <c r="Q182" s="7" t="e">
        <f t="shared" si="41"/>
        <v>#N/A</v>
      </c>
      <c r="R182" s="5" t="e">
        <f t="shared" si="34"/>
        <v>#N/A</v>
      </c>
      <c r="S182" s="5" t="e">
        <f t="shared" si="35"/>
        <v>#N/A</v>
      </c>
      <c r="U182">
        <v>5721954</v>
      </c>
      <c r="V182" s="1">
        <f>VLOOKUP(A182,[2]Sheet1!$A:$B,2,0)</f>
        <v>24701814</v>
      </c>
      <c r="W182" s="6">
        <f t="shared" si="42"/>
        <v>5721954</v>
      </c>
      <c r="X182" s="6">
        <f t="shared" si="43"/>
        <v>18979860</v>
      </c>
      <c r="Y182" s="5" t="e">
        <f t="shared" si="36"/>
        <v>#DIV/0!</v>
      </c>
      <c r="Z182" s="5">
        <f t="shared" si="37"/>
        <v>3.3170242193488448</v>
      </c>
      <c r="AA182" s="9" t="e">
        <v>#N/A</v>
      </c>
      <c r="AB182" s="10" t="e">
        <v>#N/A</v>
      </c>
      <c r="AD182" t="e">
        <v>#N/A</v>
      </c>
      <c r="AE182" s="1" t="e">
        <v>#N/A</v>
      </c>
      <c r="AF182" s="6" t="e">
        <f t="shared" si="44"/>
        <v>#N/A</v>
      </c>
      <c r="AG182" s="6" t="e">
        <f t="shared" si="45"/>
        <v>#N/A</v>
      </c>
      <c r="AH182" s="5" t="e">
        <f t="shared" si="46"/>
        <v>#N/A</v>
      </c>
      <c r="AI182" s="5" t="e">
        <f t="shared" si="47"/>
        <v>#N/A</v>
      </c>
    </row>
    <row r="183" spans="1:35" x14ac:dyDescent="0.25">
      <c r="A183" s="2" t="s">
        <v>184</v>
      </c>
      <c r="B183" t="s">
        <v>215</v>
      </c>
      <c r="C183" t="e">
        <f>VLOOKUP(A183,[1]FO!$A$2:$A$69,2,0)</f>
        <v>#N/A</v>
      </c>
      <c r="D183" s="4" t="e">
        <v>#N/A</v>
      </c>
      <c r="E183" s="10" t="e">
        <v>#N/A</v>
      </c>
      <c r="G183" t="s">
        <v>235</v>
      </c>
      <c r="H183" s="1">
        <v>15556</v>
      </c>
      <c r="I183" s="6" t="e">
        <f t="shared" si="38"/>
        <v>#VALUE!</v>
      </c>
      <c r="J183" s="6" t="e">
        <f t="shared" si="39"/>
        <v>#VALUE!</v>
      </c>
      <c r="K183" s="5" t="e">
        <f t="shared" si="32"/>
        <v>#VALUE!</v>
      </c>
      <c r="L183" s="5" t="e">
        <f t="shared" si="33"/>
        <v>#VALUE!</v>
      </c>
      <c r="M183" s="3"/>
      <c r="N183" s="3" t="e">
        <v>#N/A</v>
      </c>
      <c r="O183" s="11" t="e">
        <v>#N/A</v>
      </c>
      <c r="P183" s="7" t="e">
        <f t="shared" si="40"/>
        <v>#N/A</v>
      </c>
      <c r="Q183" s="7" t="e">
        <f t="shared" si="41"/>
        <v>#N/A</v>
      </c>
      <c r="R183" s="5" t="e">
        <f t="shared" si="34"/>
        <v>#N/A</v>
      </c>
      <c r="S183" s="5" t="e">
        <f t="shared" si="35"/>
        <v>#N/A</v>
      </c>
      <c r="U183" t="e">
        <v>#N/A</v>
      </c>
      <c r="V183" s="1" t="e">
        <f>VLOOKUP(A183,[2]Sheet1!$A:$B,2,0)</f>
        <v>#N/A</v>
      </c>
      <c r="W183" s="6" t="e">
        <f t="shared" si="42"/>
        <v>#N/A</v>
      </c>
      <c r="X183" s="6" t="e">
        <f t="shared" si="43"/>
        <v>#N/A</v>
      </c>
      <c r="Y183" s="5" t="e">
        <f t="shared" si="36"/>
        <v>#N/A</v>
      </c>
      <c r="Z183" s="5" t="e">
        <f t="shared" si="37"/>
        <v>#N/A</v>
      </c>
      <c r="AA183" s="9" t="e">
        <v>#N/A</v>
      </c>
      <c r="AB183" s="10" t="e">
        <v>#N/A</v>
      </c>
      <c r="AD183" t="e">
        <v>#N/A</v>
      </c>
      <c r="AE183" s="1" t="e">
        <v>#N/A</v>
      </c>
      <c r="AF183" s="6" t="e">
        <f t="shared" si="44"/>
        <v>#N/A</v>
      </c>
      <c r="AG183" s="6" t="e">
        <f t="shared" si="45"/>
        <v>#N/A</v>
      </c>
      <c r="AH183" s="5" t="e">
        <f t="shared" si="46"/>
        <v>#N/A</v>
      </c>
      <c r="AI183" s="5" t="e">
        <f t="shared" si="47"/>
        <v>#N/A</v>
      </c>
    </row>
    <row r="184" spans="1:35" x14ac:dyDescent="0.25">
      <c r="A184" s="2" t="s">
        <v>185</v>
      </c>
      <c r="B184" t="s">
        <v>215</v>
      </c>
      <c r="C184" t="e">
        <f>VLOOKUP(A184,[1]FO!$A$2:$A$69,2,0)</f>
        <v>#N/A</v>
      </c>
      <c r="D184" s="4" t="e">
        <v>#N/A</v>
      </c>
      <c r="E184" s="10" t="e">
        <v>#N/A</v>
      </c>
      <c r="G184" t="s">
        <v>232</v>
      </c>
      <c r="H184" s="1">
        <v>1215</v>
      </c>
      <c r="I184" s="6" t="e">
        <f t="shared" si="38"/>
        <v>#VALUE!</v>
      </c>
      <c r="J184" s="6" t="e">
        <f t="shared" si="39"/>
        <v>#VALUE!</v>
      </c>
      <c r="K184" s="5" t="e">
        <f t="shared" si="32"/>
        <v>#VALUE!</v>
      </c>
      <c r="L184" s="5" t="e">
        <f t="shared" si="33"/>
        <v>#VALUE!</v>
      </c>
      <c r="M184" s="3"/>
      <c r="N184" s="3" t="e">
        <v>#N/A</v>
      </c>
      <c r="O184" s="11" t="e">
        <v>#N/A</v>
      </c>
      <c r="P184" s="7" t="e">
        <f>N184-M184</f>
        <v>#N/A</v>
      </c>
      <c r="Q184" s="7" t="e">
        <f t="shared" si="41"/>
        <v>#N/A</v>
      </c>
      <c r="R184" s="5" t="e">
        <f t="shared" si="34"/>
        <v>#N/A</v>
      </c>
      <c r="S184" s="5" t="e">
        <f t="shared" si="35"/>
        <v>#N/A</v>
      </c>
      <c r="U184">
        <v>154993</v>
      </c>
      <c r="V184" s="1">
        <f>VLOOKUP(A184,[2]Sheet1!$A:$B,2,0)</f>
        <v>185023</v>
      </c>
      <c r="W184" s="6">
        <f t="shared" si="42"/>
        <v>154993</v>
      </c>
      <c r="X184" s="6">
        <f t="shared" si="43"/>
        <v>30030</v>
      </c>
      <c r="Y184" s="5" t="e">
        <f t="shared" si="36"/>
        <v>#DIV/0!</v>
      </c>
      <c r="Z184" s="5">
        <f t="shared" si="37"/>
        <v>0.19375068551482971</v>
      </c>
      <c r="AA184" s="9" t="e">
        <v>#N/A</v>
      </c>
      <c r="AB184" s="10" t="e">
        <v>#N/A</v>
      </c>
      <c r="AD184" t="e">
        <v>#N/A</v>
      </c>
      <c r="AE184" s="1" t="e">
        <v>#N/A</v>
      </c>
      <c r="AF184" s="6" t="e">
        <f t="shared" si="44"/>
        <v>#N/A</v>
      </c>
      <c r="AG184" s="6" t="e">
        <f t="shared" si="45"/>
        <v>#N/A</v>
      </c>
      <c r="AH184" s="5" t="e">
        <f t="shared" si="46"/>
        <v>#N/A</v>
      </c>
      <c r="AI184" s="5" t="e">
        <f t="shared" si="47"/>
        <v>#N/A</v>
      </c>
    </row>
    <row r="185" spans="1:35" x14ac:dyDescent="0.25">
      <c r="A185" s="2" t="s">
        <v>186</v>
      </c>
      <c r="B185" t="s">
        <v>215</v>
      </c>
      <c r="C185" t="e">
        <f>VLOOKUP(A185,[1]FO!$A$2:$A$69,2,0)</f>
        <v>#N/A</v>
      </c>
      <c r="D185" s="4" t="e">
        <v>#N/A</v>
      </c>
      <c r="E185" s="10" t="e">
        <v>#N/A</v>
      </c>
      <c r="G185" t="s">
        <v>235</v>
      </c>
      <c r="H185" s="1">
        <v>1353</v>
      </c>
      <c r="I185" s="6" t="e">
        <f t="shared" si="38"/>
        <v>#VALUE!</v>
      </c>
      <c r="J185" s="6" t="e">
        <f t="shared" si="39"/>
        <v>#VALUE!</v>
      </c>
      <c r="K185" s="5" t="e">
        <f t="shared" si="32"/>
        <v>#VALUE!</v>
      </c>
      <c r="L185" s="5" t="e">
        <f t="shared" si="33"/>
        <v>#VALUE!</v>
      </c>
      <c r="M185" s="3"/>
      <c r="N185" s="3" t="e">
        <v>#N/A</v>
      </c>
      <c r="O185" s="11" t="e">
        <v>#N/A</v>
      </c>
      <c r="P185" s="7" t="e">
        <f t="shared" ref="P185:P213" si="48">N185-M185</f>
        <v>#N/A</v>
      </c>
      <c r="Q185" s="7" t="e">
        <f t="shared" si="41"/>
        <v>#N/A</v>
      </c>
      <c r="R185" s="5" t="e">
        <f t="shared" si="34"/>
        <v>#N/A</v>
      </c>
      <c r="S185" s="5" t="e">
        <f t="shared" si="35"/>
        <v>#N/A</v>
      </c>
      <c r="U185" t="e">
        <v>#N/A</v>
      </c>
      <c r="V185" s="1" t="e">
        <f>VLOOKUP(A185,[2]Sheet1!$A:$B,2,0)</f>
        <v>#N/A</v>
      </c>
      <c r="W185" s="6" t="e">
        <f t="shared" si="42"/>
        <v>#N/A</v>
      </c>
      <c r="X185" s="6" t="e">
        <f t="shared" si="43"/>
        <v>#N/A</v>
      </c>
      <c r="Y185" s="5" t="e">
        <f t="shared" si="36"/>
        <v>#N/A</v>
      </c>
      <c r="Z185" s="5" t="e">
        <f t="shared" si="37"/>
        <v>#N/A</v>
      </c>
      <c r="AA185" s="9" t="e">
        <v>#N/A</v>
      </c>
      <c r="AB185" s="10" t="e">
        <v>#N/A</v>
      </c>
      <c r="AD185" t="e">
        <v>#N/A</v>
      </c>
      <c r="AE185" s="1" t="e">
        <v>#N/A</v>
      </c>
      <c r="AF185" s="6" t="e">
        <f t="shared" si="44"/>
        <v>#N/A</v>
      </c>
      <c r="AG185" s="6" t="e">
        <f t="shared" si="45"/>
        <v>#N/A</v>
      </c>
      <c r="AH185" s="5" t="e">
        <f t="shared" si="46"/>
        <v>#N/A</v>
      </c>
      <c r="AI185" s="5" t="e">
        <f t="shared" si="47"/>
        <v>#N/A</v>
      </c>
    </row>
    <row r="186" spans="1:35" x14ac:dyDescent="0.25">
      <c r="A186" s="2" t="s">
        <v>187</v>
      </c>
      <c r="B186" t="s">
        <v>215</v>
      </c>
      <c r="C186" t="e">
        <f>VLOOKUP(A186,[1]FO!$A$2:$A$69,2,0)</f>
        <v>#N/A</v>
      </c>
      <c r="D186" s="4" t="e">
        <v>#N/A</v>
      </c>
      <c r="E186" s="10" t="e">
        <v>#N/A</v>
      </c>
      <c r="G186" t="s">
        <v>232</v>
      </c>
      <c r="H186" s="1">
        <v>12273</v>
      </c>
      <c r="I186" s="6" t="e">
        <f t="shared" si="38"/>
        <v>#VALUE!</v>
      </c>
      <c r="J186" s="6" t="e">
        <f t="shared" si="39"/>
        <v>#VALUE!</v>
      </c>
      <c r="K186" s="5" t="e">
        <f t="shared" si="32"/>
        <v>#VALUE!</v>
      </c>
      <c r="L186" s="5" t="e">
        <f t="shared" si="33"/>
        <v>#VALUE!</v>
      </c>
      <c r="M186" s="3"/>
      <c r="N186" s="3" t="e">
        <v>#N/A</v>
      </c>
      <c r="O186" s="11" t="e">
        <v>#N/A</v>
      </c>
      <c r="P186" s="7" t="e">
        <f t="shared" si="48"/>
        <v>#N/A</v>
      </c>
      <c r="Q186" s="7" t="e">
        <f t="shared" si="41"/>
        <v>#N/A</v>
      </c>
      <c r="R186" s="5" t="e">
        <f t="shared" si="34"/>
        <v>#N/A</v>
      </c>
      <c r="S186" s="5" t="e">
        <f t="shared" si="35"/>
        <v>#N/A</v>
      </c>
      <c r="U186">
        <v>2493249</v>
      </c>
      <c r="V186" s="1">
        <f>VLOOKUP(A186,[2]Sheet1!$A:$B,2,0)</f>
        <v>37379633</v>
      </c>
      <c r="W186" s="6">
        <f t="shared" si="42"/>
        <v>2493249</v>
      </c>
      <c r="X186" s="6">
        <f t="shared" si="43"/>
        <v>34886384</v>
      </c>
      <c r="Y186" s="5" t="e">
        <f t="shared" si="36"/>
        <v>#DIV/0!</v>
      </c>
      <c r="Z186" s="5">
        <f t="shared" si="37"/>
        <v>13.992338510914875</v>
      </c>
      <c r="AA186" s="9" t="e">
        <v>#N/A</v>
      </c>
      <c r="AB186" s="10" t="e">
        <v>#N/A</v>
      </c>
      <c r="AD186" t="e">
        <v>#N/A</v>
      </c>
      <c r="AE186" s="1" t="e">
        <v>#N/A</v>
      </c>
      <c r="AF186" s="6" t="e">
        <f t="shared" si="44"/>
        <v>#N/A</v>
      </c>
      <c r="AG186" s="6" t="e">
        <f t="shared" si="45"/>
        <v>#N/A</v>
      </c>
      <c r="AH186" s="5" t="e">
        <f t="shared" si="46"/>
        <v>#N/A</v>
      </c>
      <c r="AI186" s="5" t="e">
        <f t="shared" si="47"/>
        <v>#N/A</v>
      </c>
    </row>
    <row r="187" spans="1:35" x14ac:dyDescent="0.25">
      <c r="A187" s="2" t="s">
        <v>188</v>
      </c>
      <c r="B187" t="s">
        <v>215</v>
      </c>
      <c r="C187" t="e">
        <f>VLOOKUP(A187,[1]FO!$A$2:$A$69,2,0)</f>
        <v>#N/A</v>
      </c>
      <c r="D187" s="4">
        <v>2.7</v>
      </c>
      <c r="E187" s="10">
        <v>1.7</v>
      </c>
      <c r="G187" t="s">
        <v>232</v>
      </c>
      <c r="H187" s="1">
        <v>78433</v>
      </c>
      <c r="I187" s="6" t="e">
        <f t="shared" si="38"/>
        <v>#VALUE!</v>
      </c>
      <c r="J187" s="6" t="e">
        <f t="shared" si="39"/>
        <v>#VALUE!</v>
      </c>
      <c r="K187" s="5" t="e">
        <f t="shared" si="32"/>
        <v>#VALUE!</v>
      </c>
      <c r="L187" s="5" t="e">
        <f t="shared" si="33"/>
        <v>#VALUE!</v>
      </c>
      <c r="M187" s="3"/>
      <c r="N187" s="3">
        <v>32.25</v>
      </c>
      <c r="O187" s="11">
        <v>357.24</v>
      </c>
      <c r="P187" s="7">
        <f t="shared" si="48"/>
        <v>32.25</v>
      </c>
      <c r="Q187" s="7">
        <f t="shared" si="41"/>
        <v>324.99</v>
      </c>
      <c r="R187" s="5" t="e">
        <f t="shared" si="34"/>
        <v>#DIV/0!</v>
      </c>
      <c r="S187" s="5">
        <f t="shared" si="35"/>
        <v>10.077209302325581</v>
      </c>
      <c r="U187">
        <v>2972004</v>
      </c>
      <c r="V187" s="1">
        <f>VLOOKUP(A187,[2]Sheet1!$A:$B,2,0)</f>
        <v>35723601</v>
      </c>
      <c r="W187" s="6">
        <f t="shared" si="42"/>
        <v>2972004</v>
      </c>
      <c r="X187" s="6">
        <f t="shared" si="43"/>
        <v>32751597</v>
      </c>
      <c r="Y187" s="5" t="e">
        <f t="shared" si="36"/>
        <v>#DIV/0!</v>
      </c>
      <c r="Z187" s="5">
        <f t="shared" si="37"/>
        <v>11.020037994565284</v>
      </c>
      <c r="AA187" s="9">
        <v>-11759300</v>
      </c>
      <c r="AB187" s="10">
        <v>-6075900</v>
      </c>
      <c r="AD187">
        <v>1608</v>
      </c>
      <c r="AE187" s="1">
        <v>1355</v>
      </c>
      <c r="AF187" s="6">
        <f t="shared" si="44"/>
        <v>1608</v>
      </c>
      <c r="AG187" s="6">
        <f t="shared" si="45"/>
        <v>-253</v>
      </c>
      <c r="AH187" s="5" t="e">
        <f t="shared" si="46"/>
        <v>#DIV/0!</v>
      </c>
      <c r="AI187" s="5">
        <f t="shared" si="47"/>
        <v>-0.15733830845771143</v>
      </c>
    </row>
    <row r="188" spans="1:35" x14ac:dyDescent="0.25">
      <c r="A188" s="2" t="s">
        <v>189</v>
      </c>
      <c r="B188" t="s">
        <v>215</v>
      </c>
      <c r="C188" t="e">
        <f>VLOOKUP(A188,[1]FO!$A$2:$A$69,2,0)</f>
        <v>#N/A</v>
      </c>
      <c r="D188" s="4">
        <v>351.1</v>
      </c>
      <c r="E188" s="10">
        <v>438.55</v>
      </c>
      <c r="G188" t="s">
        <v>232</v>
      </c>
      <c r="H188" s="1">
        <v>13061</v>
      </c>
      <c r="I188" s="6" t="e">
        <f t="shared" si="38"/>
        <v>#VALUE!</v>
      </c>
      <c r="J188" s="6" t="e">
        <f t="shared" si="39"/>
        <v>#VALUE!</v>
      </c>
      <c r="K188" s="5" t="e">
        <f t="shared" si="32"/>
        <v>#VALUE!</v>
      </c>
      <c r="L188" s="5" t="e">
        <f t="shared" si="33"/>
        <v>#VALUE!</v>
      </c>
      <c r="M188" s="3"/>
      <c r="N188" s="3">
        <v>19890</v>
      </c>
      <c r="O188" s="11">
        <v>0.54</v>
      </c>
      <c r="P188" s="7">
        <f t="shared" si="48"/>
        <v>19890</v>
      </c>
      <c r="Q188" s="7">
        <f t="shared" si="41"/>
        <v>-19889.46</v>
      </c>
      <c r="R188" s="5" t="e">
        <f t="shared" si="34"/>
        <v>#DIV/0!</v>
      </c>
      <c r="S188" s="5">
        <f t="shared" si="35"/>
        <v>-0.99997285067873298</v>
      </c>
      <c r="U188">
        <v>6374</v>
      </c>
      <c r="V188" s="1">
        <f>VLOOKUP(A188,[2]Sheet1!$A:$B,2,0)</f>
        <v>53649</v>
      </c>
      <c r="W188" s="6">
        <f t="shared" si="42"/>
        <v>6374</v>
      </c>
      <c r="X188" s="6">
        <f t="shared" si="43"/>
        <v>47275</v>
      </c>
      <c r="Y188" s="5" t="e">
        <f t="shared" si="36"/>
        <v>#DIV/0!</v>
      </c>
      <c r="Z188" s="5">
        <f t="shared" si="37"/>
        <v>7.4168497019140256</v>
      </c>
      <c r="AA188" s="9">
        <v>-47200</v>
      </c>
      <c r="AB188" s="10">
        <v>-37950</v>
      </c>
      <c r="AD188">
        <v>1488</v>
      </c>
      <c r="AE188" s="1">
        <v>1236</v>
      </c>
      <c r="AF188" s="6">
        <f t="shared" si="44"/>
        <v>1488</v>
      </c>
      <c r="AG188" s="6">
        <f t="shared" si="45"/>
        <v>-252</v>
      </c>
      <c r="AH188" s="5" t="e">
        <f t="shared" si="46"/>
        <v>#DIV/0!</v>
      </c>
      <c r="AI188" s="5">
        <f t="shared" si="47"/>
        <v>-0.16935483870967741</v>
      </c>
    </row>
    <row r="189" spans="1:35" x14ac:dyDescent="0.25">
      <c r="A189" s="2" t="s">
        <v>190</v>
      </c>
      <c r="B189" t="s">
        <v>215</v>
      </c>
      <c r="C189" t="e">
        <f>VLOOKUP(A189,[1]FO!$A$2:$A$69,2,0)</f>
        <v>#N/A</v>
      </c>
      <c r="D189" s="4">
        <v>-15.1</v>
      </c>
      <c r="E189" s="10">
        <v>9.85</v>
      </c>
      <c r="G189" t="s">
        <v>232</v>
      </c>
      <c r="H189" s="1">
        <v>33161</v>
      </c>
      <c r="I189" s="6" t="e">
        <f t="shared" si="38"/>
        <v>#VALUE!</v>
      </c>
      <c r="J189" s="6" t="e">
        <f t="shared" si="39"/>
        <v>#VALUE!</v>
      </c>
      <c r="K189" s="5" t="e">
        <f t="shared" si="32"/>
        <v>#VALUE!</v>
      </c>
      <c r="L189" s="5" t="e">
        <f t="shared" si="33"/>
        <v>#VALUE!</v>
      </c>
      <c r="M189" s="3"/>
      <c r="N189" s="3">
        <v>1179</v>
      </c>
      <c r="O189" s="11">
        <v>6.1</v>
      </c>
      <c r="P189" s="7">
        <f t="shared" si="48"/>
        <v>1179</v>
      </c>
      <c r="Q189" s="7">
        <f t="shared" si="41"/>
        <v>-1172.9000000000001</v>
      </c>
      <c r="R189" s="5" t="e">
        <f t="shared" si="34"/>
        <v>#DIV/0!</v>
      </c>
      <c r="S189" s="5">
        <f t="shared" si="35"/>
        <v>-0.99482612383375746</v>
      </c>
      <c r="U189">
        <v>192689</v>
      </c>
      <c r="V189" s="1">
        <f>VLOOKUP(A189,[2]Sheet1!$A:$B,2,0)</f>
        <v>609933</v>
      </c>
      <c r="W189" s="6">
        <f t="shared" si="42"/>
        <v>192689</v>
      </c>
      <c r="X189" s="6">
        <f t="shared" si="43"/>
        <v>417244</v>
      </c>
      <c r="Y189" s="5" t="e">
        <f t="shared" si="36"/>
        <v>#DIV/0!</v>
      </c>
      <c r="Z189" s="5">
        <f t="shared" si="37"/>
        <v>2.1653752938673199</v>
      </c>
      <c r="AA189" s="9">
        <v>-389950</v>
      </c>
      <c r="AB189" s="10">
        <v>-289850</v>
      </c>
      <c r="AD189">
        <v>1720</v>
      </c>
      <c r="AE189" s="1">
        <v>895</v>
      </c>
      <c r="AF189" s="6">
        <f t="shared" si="44"/>
        <v>1720</v>
      </c>
      <c r="AG189" s="6">
        <f t="shared" si="45"/>
        <v>-825</v>
      </c>
      <c r="AH189" s="5" t="e">
        <f t="shared" si="46"/>
        <v>#DIV/0!</v>
      </c>
      <c r="AI189" s="5">
        <f t="shared" si="47"/>
        <v>-0.47965116279069769</v>
      </c>
    </row>
    <row r="190" spans="1:35" x14ac:dyDescent="0.25">
      <c r="A190" s="2" t="s">
        <v>191</v>
      </c>
      <c r="B190" t="s">
        <v>215</v>
      </c>
      <c r="C190" t="e">
        <f>VLOOKUP(A190,[1]FO!$A$2:$A$69,2,0)</f>
        <v>#N/A</v>
      </c>
      <c r="D190" s="4" t="e">
        <v>#N/A</v>
      </c>
      <c r="E190" s="10" t="e">
        <v>#N/A</v>
      </c>
      <c r="G190" t="s">
        <v>232</v>
      </c>
      <c r="H190" s="1">
        <v>12268</v>
      </c>
      <c r="I190" s="6" t="e">
        <f t="shared" si="38"/>
        <v>#VALUE!</v>
      </c>
      <c r="J190" s="6" t="e">
        <f t="shared" si="39"/>
        <v>#VALUE!</v>
      </c>
      <c r="K190" s="5" t="e">
        <f t="shared" si="32"/>
        <v>#VALUE!</v>
      </c>
      <c r="L190" s="5" t="e">
        <f t="shared" si="33"/>
        <v>#VALUE!</v>
      </c>
      <c r="M190" s="3"/>
      <c r="N190" s="3" t="e">
        <v>#N/A</v>
      </c>
      <c r="O190" s="11" t="e">
        <v>#N/A</v>
      </c>
      <c r="P190" s="7" t="e">
        <f t="shared" si="48"/>
        <v>#N/A</v>
      </c>
      <c r="Q190" s="7" t="e">
        <f t="shared" si="41"/>
        <v>#N/A</v>
      </c>
      <c r="R190" s="5" t="e">
        <f t="shared" si="34"/>
        <v>#N/A</v>
      </c>
      <c r="S190" s="5" t="e">
        <f t="shared" si="35"/>
        <v>#N/A</v>
      </c>
      <c r="U190">
        <v>5340250</v>
      </c>
      <c r="V190" s="1">
        <f>VLOOKUP(A190,[2]Sheet1!$A:$B,2,0)</f>
        <v>15489942</v>
      </c>
      <c r="W190" s="6">
        <f t="shared" si="42"/>
        <v>5340250</v>
      </c>
      <c r="X190" s="6">
        <f t="shared" si="43"/>
        <v>10149692</v>
      </c>
      <c r="Y190" s="5" t="e">
        <f t="shared" si="36"/>
        <v>#DIV/0!</v>
      </c>
      <c r="Z190" s="5">
        <f t="shared" si="37"/>
        <v>1.9006024062543889</v>
      </c>
      <c r="AA190" s="9" t="e">
        <v>#N/A</v>
      </c>
      <c r="AB190" s="10" t="e">
        <v>#N/A</v>
      </c>
      <c r="AD190" t="e">
        <v>#N/A</v>
      </c>
      <c r="AE190" s="1" t="e">
        <v>#N/A</v>
      </c>
      <c r="AF190" s="6" t="e">
        <f t="shared" si="44"/>
        <v>#N/A</v>
      </c>
      <c r="AG190" s="6" t="e">
        <f t="shared" si="45"/>
        <v>#N/A</v>
      </c>
      <c r="AH190" s="5" t="e">
        <f t="shared" si="46"/>
        <v>#N/A</v>
      </c>
      <c r="AI190" s="5" t="e">
        <f t="shared" si="47"/>
        <v>#N/A</v>
      </c>
    </row>
    <row r="191" spans="1:35" x14ac:dyDescent="0.25">
      <c r="A191" s="2" t="s">
        <v>192</v>
      </c>
      <c r="B191" t="s">
        <v>215</v>
      </c>
      <c r="C191" t="e">
        <f>VLOOKUP(A191,[1]FO!$A$2:$A$69,2,0)</f>
        <v>#N/A</v>
      </c>
      <c r="D191" s="4" t="e">
        <v>#N/A</v>
      </c>
      <c r="E191" s="10" t="e">
        <v>#N/A</v>
      </c>
      <c r="G191" t="s">
        <v>232</v>
      </c>
      <c r="H191" s="1">
        <v>1042</v>
      </c>
      <c r="I191" s="6" t="e">
        <f t="shared" si="38"/>
        <v>#VALUE!</v>
      </c>
      <c r="J191" s="6" t="e">
        <f t="shared" si="39"/>
        <v>#VALUE!</v>
      </c>
      <c r="K191" s="5" t="e">
        <f t="shared" si="32"/>
        <v>#VALUE!</v>
      </c>
      <c r="L191" s="5" t="e">
        <f t="shared" si="33"/>
        <v>#VALUE!</v>
      </c>
      <c r="M191" s="3"/>
      <c r="N191" s="3" t="e">
        <v>#N/A</v>
      </c>
      <c r="O191" s="11" t="e">
        <v>#N/A</v>
      </c>
      <c r="P191" s="7" t="e">
        <f t="shared" si="48"/>
        <v>#N/A</v>
      </c>
      <c r="Q191" s="7" t="e">
        <f t="shared" si="41"/>
        <v>#N/A</v>
      </c>
      <c r="R191" s="5" t="e">
        <f t="shared" si="34"/>
        <v>#N/A</v>
      </c>
      <c r="S191" s="5" t="e">
        <f t="shared" si="35"/>
        <v>#N/A</v>
      </c>
      <c r="U191">
        <v>963176</v>
      </c>
      <c r="V191" s="1">
        <f>VLOOKUP(A191,[2]Sheet1!$A:$B,2,0)</f>
        <v>1156242</v>
      </c>
      <c r="W191" s="6">
        <f t="shared" si="42"/>
        <v>963176</v>
      </c>
      <c r="X191" s="6">
        <f t="shared" si="43"/>
        <v>193066</v>
      </c>
      <c r="Y191" s="5" t="e">
        <f t="shared" si="36"/>
        <v>#DIV/0!</v>
      </c>
      <c r="Z191" s="5">
        <f t="shared" si="37"/>
        <v>0.20044727028082096</v>
      </c>
      <c r="AA191" s="9" t="e">
        <v>#N/A</v>
      </c>
      <c r="AB191" s="10" t="e">
        <v>#N/A</v>
      </c>
      <c r="AD191" t="e">
        <v>#N/A</v>
      </c>
      <c r="AE191" s="1" t="e">
        <v>#N/A</v>
      </c>
      <c r="AF191" s="6" t="e">
        <f t="shared" si="44"/>
        <v>#N/A</v>
      </c>
      <c r="AG191" s="6" t="e">
        <f t="shared" si="45"/>
        <v>#N/A</v>
      </c>
      <c r="AH191" s="5" t="e">
        <f t="shared" si="46"/>
        <v>#N/A</v>
      </c>
      <c r="AI191" s="5" t="e">
        <f t="shared" si="47"/>
        <v>#N/A</v>
      </c>
    </row>
    <row r="192" spans="1:35" x14ac:dyDescent="0.25">
      <c r="A192" s="2" t="s">
        <v>193</v>
      </c>
      <c r="B192" t="s">
        <v>215</v>
      </c>
      <c r="C192" t="e">
        <f>VLOOKUP(A192,[1]FO!$A$2:$A$69,2,0)</f>
        <v>#N/A</v>
      </c>
      <c r="D192" s="4">
        <v>-34.9</v>
      </c>
      <c r="E192" s="10">
        <v>44.2</v>
      </c>
      <c r="G192" t="s">
        <v>232</v>
      </c>
      <c r="H192" s="1">
        <v>23306</v>
      </c>
      <c r="I192" s="6" t="e">
        <f t="shared" si="38"/>
        <v>#VALUE!</v>
      </c>
      <c r="J192" s="6" t="e">
        <f t="shared" si="39"/>
        <v>#VALUE!</v>
      </c>
      <c r="K192" s="5" t="e">
        <f t="shared" si="32"/>
        <v>#VALUE!</v>
      </c>
      <c r="L192" s="5" t="e">
        <f t="shared" si="33"/>
        <v>#VALUE!</v>
      </c>
      <c r="M192" s="3"/>
      <c r="N192" s="3">
        <v>3772</v>
      </c>
      <c r="O192" s="11">
        <v>2.0699999999999998</v>
      </c>
      <c r="P192" s="7">
        <f t="shared" si="48"/>
        <v>3772</v>
      </c>
      <c r="Q192" s="7">
        <f t="shared" si="41"/>
        <v>-3769.93</v>
      </c>
      <c r="R192" s="5" t="e">
        <f t="shared" si="34"/>
        <v>#DIV/0!</v>
      </c>
      <c r="S192" s="5">
        <f t="shared" si="35"/>
        <v>-0.99945121951219507</v>
      </c>
      <c r="U192">
        <v>76539</v>
      </c>
      <c r="V192" s="1">
        <f>VLOOKUP(A192,[2]Sheet1!$A:$B,2,0)</f>
        <v>207392</v>
      </c>
      <c r="W192" s="6">
        <f t="shared" si="42"/>
        <v>76539</v>
      </c>
      <c r="X192" s="6">
        <f t="shared" si="43"/>
        <v>130853</v>
      </c>
      <c r="Y192" s="5" t="e">
        <f t="shared" si="36"/>
        <v>#DIV/0!</v>
      </c>
      <c r="Z192" s="5">
        <f t="shared" si="37"/>
        <v>1.709625158415971</v>
      </c>
      <c r="AA192" s="9">
        <v>-134750</v>
      </c>
      <c r="AB192" s="10">
        <v>-73250</v>
      </c>
      <c r="AD192">
        <v>4545</v>
      </c>
      <c r="AE192" s="1">
        <v>835</v>
      </c>
      <c r="AF192" s="6">
        <f t="shared" si="44"/>
        <v>4545</v>
      </c>
      <c r="AG192" s="6">
        <f t="shared" si="45"/>
        <v>-3710</v>
      </c>
      <c r="AH192" s="5" t="e">
        <f t="shared" si="46"/>
        <v>#DIV/0!</v>
      </c>
      <c r="AI192" s="5">
        <f t="shared" si="47"/>
        <v>-0.81628162816281624</v>
      </c>
    </row>
    <row r="193" spans="1:35" x14ac:dyDescent="0.25">
      <c r="A193" s="2" t="s">
        <v>194</v>
      </c>
      <c r="B193" t="s">
        <v>215</v>
      </c>
      <c r="C193" t="e">
        <f>VLOOKUP(A193,[1]FO!$A$2:$A$69,2,0)</f>
        <v>#N/A</v>
      </c>
      <c r="D193" s="4">
        <v>-6.5</v>
      </c>
      <c r="E193" s="10">
        <v>92.85</v>
      </c>
      <c r="G193" t="s">
        <v>232</v>
      </c>
      <c r="H193" s="1">
        <v>179631</v>
      </c>
      <c r="I193" s="6" t="e">
        <f t="shared" si="38"/>
        <v>#VALUE!</v>
      </c>
      <c r="J193" s="6" t="e">
        <f t="shared" si="39"/>
        <v>#VALUE!</v>
      </c>
      <c r="K193" s="5" t="e">
        <f t="shared" si="32"/>
        <v>#VALUE!</v>
      </c>
      <c r="L193" s="5" t="e">
        <f t="shared" si="33"/>
        <v>#VALUE!</v>
      </c>
      <c r="M193" s="3"/>
      <c r="N193" s="3">
        <v>799.55</v>
      </c>
      <c r="O193" s="11">
        <v>67.77</v>
      </c>
      <c r="P193" s="7">
        <f t="shared" si="48"/>
        <v>799.55</v>
      </c>
      <c r="Q193" s="7">
        <f t="shared" si="41"/>
        <v>-731.78</v>
      </c>
      <c r="R193" s="5" t="e">
        <f t="shared" si="34"/>
        <v>#DIV/0!</v>
      </c>
      <c r="S193" s="5">
        <f t="shared" si="35"/>
        <v>-0.91523982240010004</v>
      </c>
      <c r="U193">
        <v>644190</v>
      </c>
      <c r="V193" s="1">
        <f>VLOOKUP(A193,[2]Sheet1!$A:$B,2,0)</f>
        <v>6777000</v>
      </c>
      <c r="W193" s="6">
        <f t="shared" si="42"/>
        <v>644190</v>
      </c>
      <c r="X193" s="6">
        <f t="shared" si="43"/>
        <v>6132810</v>
      </c>
      <c r="Y193" s="5" t="e">
        <f t="shared" si="36"/>
        <v>#DIV/0!</v>
      </c>
      <c r="Z193" s="5">
        <f t="shared" si="37"/>
        <v>9.520188143249662</v>
      </c>
      <c r="AA193" s="9">
        <v>-859200</v>
      </c>
      <c r="AB193" s="10">
        <v>-467400</v>
      </c>
      <c r="AD193">
        <v>6991</v>
      </c>
      <c r="AE193" s="1">
        <v>3365</v>
      </c>
      <c r="AF193" s="6">
        <f t="shared" si="44"/>
        <v>6991</v>
      </c>
      <c r="AG193" s="6">
        <f t="shared" si="45"/>
        <v>-3626</v>
      </c>
      <c r="AH193" s="5" t="e">
        <f t="shared" si="46"/>
        <v>#DIV/0!</v>
      </c>
      <c r="AI193" s="5">
        <f t="shared" si="47"/>
        <v>-0.51866685738807039</v>
      </c>
    </row>
    <row r="194" spans="1:35" x14ac:dyDescent="0.25">
      <c r="A194" s="2" t="s">
        <v>195</v>
      </c>
      <c r="B194" t="s">
        <v>215</v>
      </c>
      <c r="C194" t="e">
        <f>VLOOKUP(A194,[1]FO!$A$2:$A$69,2,0)</f>
        <v>#N/A</v>
      </c>
      <c r="D194" s="4" t="e">
        <v>#N/A</v>
      </c>
      <c r="E194" s="10" t="e">
        <v>#N/A</v>
      </c>
      <c r="G194" t="s">
        <v>232</v>
      </c>
      <c r="H194" s="1">
        <v>101807</v>
      </c>
      <c r="I194" s="6" t="e">
        <f t="shared" si="38"/>
        <v>#VALUE!</v>
      </c>
      <c r="J194" s="6" t="e">
        <f t="shared" si="39"/>
        <v>#VALUE!</v>
      </c>
      <c r="K194" s="5" t="e">
        <f t="shared" ref="K194:K213" si="49">I194/F194</f>
        <v>#VALUE!</v>
      </c>
      <c r="L194" s="5" t="e">
        <f t="shared" ref="L194:L213" si="50">J194/G194</f>
        <v>#VALUE!</v>
      </c>
      <c r="M194" s="3"/>
      <c r="N194" s="3" t="e">
        <v>#N/A</v>
      </c>
      <c r="O194" s="11" t="e">
        <v>#N/A</v>
      </c>
      <c r="P194" s="7" t="e">
        <f t="shared" si="48"/>
        <v>#N/A</v>
      </c>
      <c r="Q194" s="7" t="e">
        <f t="shared" si="41"/>
        <v>#N/A</v>
      </c>
      <c r="R194" s="5" t="e">
        <f t="shared" ref="R194:R213" si="51">P194/M194</f>
        <v>#N/A</v>
      </c>
      <c r="S194" s="5" t="e">
        <f t="shared" ref="S194:S213" si="52">Q194/N194</f>
        <v>#N/A</v>
      </c>
      <c r="U194">
        <v>156961</v>
      </c>
      <c r="V194" s="1">
        <f>VLOOKUP(A194,[2]Sheet1!$A:$B,2,0)</f>
        <v>5154052</v>
      </c>
      <c r="W194" s="6">
        <f t="shared" si="42"/>
        <v>156961</v>
      </c>
      <c r="X194" s="6">
        <f t="shared" si="43"/>
        <v>4997091</v>
      </c>
      <c r="Y194" s="5" t="e">
        <f t="shared" ref="Y194:Y213" si="53">W194/T194</f>
        <v>#DIV/0!</v>
      </c>
      <c r="Z194" s="5">
        <f t="shared" ref="Z194:Z213" si="54">X194/U194</f>
        <v>31.836513528838374</v>
      </c>
      <c r="AA194" s="9" t="e">
        <v>#N/A</v>
      </c>
      <c r="AB194" s="10" t="e">
        <v>#N/A</v>
      </c>
      <c r="AD194" t="e">
        <v>#N/A</v>
      </c>
      <c r="AE194" s="1" t="e">
        <v>#N/A</v>
      </c>
      <c r="AF194" s="6" t="e">
        <f t="shared" si="44"/>
        <v>#N/A</v>
      </c>
      <c r="AG194" s="6" t="e">
        <f t="shared" si="45"/>
        <v>#N/A</v>
      </c>
      <c r="AH194" s="5" t="e">
        <f t="shared" si="46"/>
        <v>#N/A</v>
      </c>
      <c r="AI194" s="5" t="e">
        <f t="shared" si="47"/>
        <v>#N/A</v>
      </c>
    </row>
    <row r="195" spans="1:35" x14ac:dyDescent="0.25">
      <c r="A195" s="2" t="s">
        <v>196</v>
      </c>
      <c r="B195" t="s">
        <v>215</v>
      </c>
      <c r="C195" t="e">
        <f>VLOOKUP(A195,[1]FO!$A$2:$A$69,2,0)</f>
        <v>#N/A</v>
      </c>
      <c r="D195" s="4">
        <v>17.399999999999999</v>
      </c>
      <c r="E195" s="10">
        <v>-8.35</v>
      </c>
      <c r="G195" t="s">
        <v>232</v>
      </c>
      <c r="H195" s="1">
        <v>39724</v>
      </c>
      <c r="I195" s="6" t="e">
        <f t="shared" ref="I195:I213" si="55">G195-F195</f>
        <v>#VALUE!</v>
      </c>
      <c r="J195" s="6" t="e">
        <f t="shared" ref="J195:J213" si="56">H195-G195</f>
        <v>#VALUE!</v>
      </c>
      <c r="K195" s="5" t="e">
        <f t="shared" si="49"/>
        <v>#VALUE!</v>
      </c>
      <c r="L195" s="5" t="e">
        <f t="shared" si="50"/>
        <v>#VALUE!</v>
      </c>
      <c r="M195" s="3"/>
      <c r="N195" s="3">
        <v>401.85</v>
      </c>
      <c r="O195" s="11">
        <v>24.18</v>
      </c>
      <c r="P195" s="7">
        <f t="shared" si="48"/>
        <v>401.85</v>
      </c>
      <c r="Q195" s="7">
        <f t="shared" ref="Q195:Q213" si="57">O195-N195</f>
        <v>-377.67</v>
      </c>
      <c r="R195" s="5" t="e">
        <f t="shared" si="51"/>
        <v>#DIV/0!</v>
      </c>
      <c r="S195" s="5">
        <f t="shared" si="52"/>
        <v>-0.93982829413960434</v>
      </c>
      <c r="U195">
        <v>577606</v>
      </c>
      <c r="V195" s="1">
        <f>VLOOKUP(A195,[2]Sheet1!$A:$B,2,0)</f>
        <v>2417645</v>
      </c>
      <c r="W195" s="6">
        <f t="shared" ref="W195:W213" si="58">U195-T195</f>
        <v>577606</v>
      </c>
      <c r="X195" s="6">
        <f t="shared" ref="X195:X213" si="59">V195-U195</f>
        <v>1840039</v>
      </c>
      <c r="Y195" s="5" t="e">
        <f t="shared" si="53"/>
        <v>#DIV/0!</v>
      </c>
      <c r="Z195" s="5">
        <f t="shared" si="54"/>
        <v>3.1856299969183146</v>
      </c>
      <c r="AA195" s="9">
        <v>-1148400</v>
      </c>
      <c r="AB195" s="10">
        <v>-486000</v>
      </c>
      <c r="AD195">
        <v>2029</v>
      </c>
      <c r="AE195" s="1">
        <v>1106</v>
      </c>
      <c r="AF195" s="6">
        <f t="shared" ref="AF195:AF213" si="60">AD195-AC195</f>
        <v>2029</v>
      </c>
      <c r="AG195" s="6">
        <f t="shared" ref="AG195:AG213" si="61">AE195-AD195</f>
        <v>-923</v>
      </c>
      <c r="AH195" s="5" t="e">
        <f t="shared" ref="AH195:AH213" si="62">AF195/AC195</f>
        <v>#DIV/0!</v>
      </c>
      <c r="AI195" s="5">
        <f t="shared" ref="AI195:AI213" si="63">AG195/AD195</f>
        <v>-0.45490389354361754</v>
      </c>
    </row>
    <row r="196" spans="1:35" x14ac:dyDescent="0.25">
      <c r="A196" s="2" t="s">
        <v>197</v>
      </c>
      <c r="B196" t="s">
        <v>215</v>
      </c>
      <c r="C196" t="e">
        <f>VLOOKUP(A196,[1]FO!$A$2:$A$69,2,0)</f>
        <v>#N/A</v>
      </c>
      <c r="D196" s="4" t="e">
        <v>#N/A</v>
      </c>
      <c r="E196" s="10" t="e">
        <v>#N/A</v>
      </c>
      <c r="G196" t="s">
        <v>232</v>
      </c>
      <c r="H196" s="1">
        <v>49564</v>
      </c>
      <c r="I196" s="6" t="e">
        <f t="shared" si="55"/>
        <v>#VALUE!</v>
      </c>
      <c r="J196" s="6" t="e">
        <f t="shared" si="56"/>
        <v>#VALUE!</v>
      </c>
      <c r="K196" s="5" t="e">
        <f t="shared" si="49"/>
        <v>#VALUE!</v>
      </c>
      <c r="L196" s="5" t="e">
        <f t="shared" si="50"/>
        <v>#VALUE!</v>
      </c>
      <c r="M196" s="3"/>
      <c r="N196" s="3" t="e">
        <v>#N/A</v>
      </c>
      <c r="O196" s="11" t="e">
        <v>#N/A</v>
      </c>
      <c r="P196" s="7" t="e">
        <f t="shared" si="48"/>
        <v>#N/A</v>
      </c>
      <c r="Q196" s="7" t="e">
        <f t="shared" si="57"/>
        <v>#N/A</v>
      </c>
      <c r="R196" s="5" t="e">
        <f t="shared" si="51"/>
        <v>#N/A</v>
      </c>
      <c r="S196" s="5" t="e">
        <f t="shared" si="52"/>
        <v>#N/A</v>
      </c>
      <c r="U196">
        <v>4746630</v>
      </c>
      <c r="V196" s="1">
        <f>VLOOKUP(A196,[2]Sheet1!$A:$B,2,0)</f>
        <v>12697078</v>
      </c>
      <c r="W196" s="6">
        <f t="shared" si="58"/>
        <v>4746630</v>
      </c>
      <c r="X196" s="6">
        <f t="shared" si="59"/>
        <v>7950448</v>
      </c>
      <c r="Y196" s="5" t="e">
        <f t="shared" si="53"/>
        <v>#DIV/0!</v>
      </c>
      <c r="Z196" s="5">
        <f t="shared" si="54"/>
        <v>1.6749668712328536</v>
      </c>
      <c r="AA196" s="9" t="e">
        <v>#N/A</v>
      </c>
      <c r="AB196" s="10" t="e">
        <v>#N/A</v>
      </c>
      <c r="AD196" t="e">
        <v>#N/A</v>
      </c>
      <c r="AE196" s="1" t="e">
        <v>#N/A</v>
      </c>
      <c r="AF196" s="6" t="e">
        <f t="shared" si="60"/>
        <v>#N/A</v>
      </c>
      <c r="AG196" s="6" t="e">
        <f t="shared" si="61"/>
        <v>#N/A</v>
      </c>
      <c r="AH196" s="5" t="e">
        <f t="shared" si="62"/>
        <v>#N/A</v>
      </c>
      <c r="AI196" s="5" t="e">
        <f t="shared" si="63"/>
        <v>#N/A</v>
      </c>
    </row>
    <row r="197" spans="1:35" x14ac:dyDescent="0.25">
      <c r="A197" s="2" t="s">
        <v>198</v>
      </c>
      <c r="B197" t="s">
        <v>215</v>
      </c>
      <c r="C197" t="e">
        <f>VLOOKUP(A197,[1]FO!$A$2:$A$69,2,0)</f>
        <v>#N/A</v>
      </c>
      <c r="D197" s="4" t="e">
        <v>#N/A</v>
      </c>
      <c r="E197" s="10" t="e">
        <v>#N/A</v>
      </c>
      <c r="G197" t="e">
        <v>#N/A</v>
      </c>
      <c r="H197" s="1" t="e">
        <v>#N/A</v>
      </c>
      <c r="I197" s="6" t="e">
        <f t="shared" si="55"/>
        <v>#N/A</v>
      </c>
      <c r="J197" s="6" t="e">
        <f t="shared" si="56"/>
        <v>#N/A</v>
      </c>
      <c r="K197" s="5" t="e">
        <f t="shared" si="49"/>
        <v>#N/A</v>
      </c>
      <c r="L197" s="5" t="e">
        <f t="shared" si="50"/>
        <v>#N/A</v>
      </c>
      <c r="M197" s="3"/>
      <c r="N197" s="3" t="e">
        <v>#N/A</v>
      </c>
      <c r="O197" s="11" t="e">
        <v>#N/A</v>
      </c>
      <c r="P197" s="7" t="e">
        <f t="shared" si="48"/>
        <v>#N/A</v>
      </c>
      <c r="Q197" s="7" t="e">
        <f t="shared" si="57"/>
        <v>#N/A</v>
      </c>
      <c r="R197" s="5" t="e">
        <f t="shared" si="51"/>
        <v>#N/A</v>
      </c>
      <c r="S197" s="5" t="e">
        <f t="shared" si="52"/>
        <v>#N/A</v>
      </c>
      <c r="U197" t="e">
        <v>#N/A</v>
      </c>
      <c r="V197" s="1" t="e">
        <f>VLOOKUP(A197,[2]Sheet1!$A:$B,2,0)</f>
        <v>#N/A</v>
      </c>
      <c r="W197" s="6" t="e">
        <f t="shared" si="58"/>
        <v>#N/A</v>
      </c>
      <c r="X197" s="6" t="e">
        <f t="shared" si="59"/>
        <v>#N/A</v>
      </c>
      <c r="Y197" s="5" t="e">
        <f t="shared" si="53"/>
        <v>#N/A</v>
      </c>
      <c r="Z197" s="5" t="e">
        <f t="shared" si="54"/>
        <v>#N/A</v>
      </c>
      <c r="AA197" s="9" t="e">
        <v>#N/A</v>
      </c>
      <c r="AB197" s="10" t="e">
        <v>#N/A</v>
      </c>
      <c r="AD197" t="e">
        <v>#N/A</v>
      </c>
      <c r="AE197" s="1" t="e">
        <v>#N/A</v>
      </c>
      <c r="AF197" s="6" t="e">
        <f t="shared" si="60"/>
        <v>#N/A</v>
      </c>
      <c r="AG197" s="6" t="e">
        <f t="shared" si="61"/>
        <v>#N/A</v>
      </c>
      <c r="AH197" s="5" t="e">
        <f t="shared" si="62"/>
        <v>#N/A</v>
      </c>
      <c r="AI197" s="5" t="e">
        <f t="shared" si="63"/>
        <v>#N/A</v>
      </c>
    </row>
    <row r="198" spans="1:35" x14ac:dyDescent="0.25">
      <c r="A198" s="2" t="s">
        <v>199</v>
      </c>
      <c r="B198" t="s">
        <v>215</v>
      </c>
      <c r="C198" t="e">
        <f>VLOOKUP(A198,[1]FO!$A$2:$A$69,2,0)</f>
        <v>#N/A</v>
      </c>
      <c r="D198" s="4">
        <v>-0.65</v>
      </c>
      <c r="E198" s="10">
        <v>-2.2999999999999998</v>
      </c>
      <c r="G198" t="s">
        <v>232</v>
      </c>
      <c r="H198" s="1">
        <v>33894</v>
      </c>
      <c r="I198" s="6" t="e">
        <f t="shared" si="55"/>
        <v>#VALUE!</v>
      </c>
      <c r="J198" s="6" t="e">
        <f t="shared" si="56"/>
        <v>#VALUE!</v>
      </c>
      <c r="K198" s="5" t="e">
        <f t="shared" si="49"/>
        <v>#VALUE!</v>
      </c>
      <c r="L198" s="5" t="e">
        <f t="shared" si="50"/>
        <v>#VALUE!</v>
      </c>
      <c r="M198" s="3"/>
      <c r="N198" s="3">
        <v>290</v>
      </c>
      <c r="O198" s="11">
        <v>19.809999999999999</v>
      </c>
      <c r="P198" s="7">
        <f t="shared" si="48"/>
        <v>290</v>
      </c>
      <c r="Q198" s="7">
        <f t="shared" si="57"/>
        <v>-270.19</v>
      </c>
      <c r="R198" s="5" t="e">
        <f t="shared" si="51"/>
        <v>#DIV/0!</v>
      </c>
      <c r="S198" s="5">
        <f t="shared" si="52"/>
        <v>-0.93168965517241376</v>
      </c>
      <c r="U198">
        <v>884531</v>
      </c>
      <c r="V198" s="1">
        <f>VLOOKUP(A198,[2]Sheet1!$A:$B,2,0)</f>
        <v>1981296</v>
      </c>
      <c r="W198" s="6">
        <f t="shared" si="58"/>
        <v>884531</v>
      </c>
      <c r="X198" s="6">
        <f t="shared" si="59"/>
        <v>1096765</v>
      </c>
      <c r="Y198" s="5" t="e">
        <f t="shared" si="53"/>
        <v>#DIV/0!</v>
      </c>
      <c r="Z198" s="5">
        <f t="shared" si="54"/>
        <v>1.2399395838020375</v>
      </c>
      <c r="AA198" s="9">
        <v>-411300</v>
      </c>
      <c r="AB198" s="10">
        <v>-103500</v>
      </c>
      <c r="AD198">
        <v>2567</v>
      </c>
      <c r="AE198" s="1">
        <v>568</v>
      </c>
      <c r="AF198" s="6">
        <f t="shared" si="60"/>
        <v>2567</v>
      </c>
      <c r="AG198" s="6">
        <f t="shared" si="61"/>
        <v>-1999</v>
      </c>
      <c r="AH198" s="5" t="e">
        <f t="shared" si="62"/>
        <v>#DIV/0!</v>
      </c>
      <c r="AI198" s="5">
        <f t="shared" si="63"/>
        <v>-0.77873003506038174</v>
      </c>
    </row>
    <row r="199" spans="1:35" x14ac:dyDescent="0.25">
      <c r="A199" s="2" t="s">
        <v>200</v>
      </c>
      <c r="B199" t="s">
        <v>215</v>
      </c>
      <c r="C199" t="e">
        <f>VLOOKUP(A199,[1]FO!$A$2:$A$69,2,0)</f>
        <v>#N/A</v>
      </c>
      <c r="D199" s="4" t="e">
        <v>#N/A</v>
      </c>
      <c r="E199" s="10" t="e">
        <v>#N/A</v>
      </c>
      <c r="G199" t="s">
        <v>232</v>
      </c>
      <c r="H199" s="1">
        <v>5561</v>
      </c>
      <c r="I199" s="6" t="e">
        <f t="shared" si="55"/>
        <v>#VALUE!</v>
      </c>
      <c r="J199" s="6" t="e">
        <f t="shared" si="56"/>
        <v>#VALUE!</v>
      </c>
      <c r="K199" s="5" t="e">
        <f t="shared" si="49"/>
        <v>#VALUE!</v>
      </c>
      <c r="L199" s="5" t="e">
        <f t="shared" si="50"/>
        <v>#VALUE!</v>
      </c>
      <c r="M199" s="3"/>
      <c r="N199" s="3" t="e">
        <v>#N/A</v>
      </c>
      <c r="O199" s="11" t="e">
        <v>#N/A</v>
      </c>
      <c r="P199" s="7" t="e">
        <f t="shared" si="48"/>
        <v>#N/A</v>
      </c>
      <c r="Q199" s="7" t="e">
        <f t="shared" si="57"/>
        <v>#N/A</v>
      </c>
      <c r="R199" s="5" t="e">
        <f t="shared" si="51"/>
        <v>#N/A</v>
      </c>
      <c r="S199" s="5" t="e">
        <f t="shared" si="52"/>
        <v>#N/A</v>
      </c>
      <c r="U199">
        <v>51195</v>
      </c>
      <c r="V199" s="1">
        <f>VLOOKUP(A199,[2]Sheet1!$A:$B,2,0)</f>
        <v>175809</v>
      </c>
      <c r="W199" s="6">
        <f t="shared" si="58"/>
        <v>51195</v>
      </c>
      <c r="X199" s="6">
        <f t="shared" si="59"/>
        <v>124614</v>
      </c>
      <c r="Y199" s="5" t="e">
        <f t="shared" si="53"/>
        <v>#DIV/0!</v>
      </c>
      <c r="Z199" s="5">
        <f t="shared" si="54"/>
        <v>2.4341048930559626</v>
      </c>
      <c r="AA199" s="9" t="e">
        <v>#N/A</v>
      </c>
      <c r="AB199" s="10" t="e">
        <v>#N/A</v>
      </c>
      <c r="AD199" t="e">
        <v>#N/A</v>
      </c>
      <c r="AE199" s="1" t="e">
        <v>#N/A</v>
      </c>
      <c r="AF199" s="6" t="e">
        <f t="shared" si="60"/>
        <v>#N/A</v>
      </c>
      <c r="AG199" s="6" t="e">
        <f t="shared" si="61"/>
        <v>#N/A</v>
      </c>
      <c r="AH199" s="5" t="e">
        <f t="shared" si="62"/>
        <v>#N/A</v>
      </c>
      <c r="AI199" s="5" t="e">
        <f t="shared" si="63"/>
        <v>#N/A</v>
      </c>
    </row>
    <row r="200" spans="1:35" x14ac:dyDescent="0.25">
      <c r="A200" s="2" t="s">
        <v>201</v>
      </c>
      <c r="B200" t="s">
        <v>215</v>
      </c>
      <c r="C200" t="e">
        <f>VLOOKUP(A200,[1]FO!$A$2:$A$69,2,0)</f>
        <v>#N/A</v>
      </c>
      <c r="D200" s="4" t="e">
        <v>#N/A</v>
      </c>
      <c r="E200" s="10" t="e">
        <v>#N/A</v>
      </c>
      <c r="G200" t="s">
        <v>232</v>
      </c>
      <c r="H200" s="1">
        <v>16952</v>
      </c>
      <c r="I200" s="6" t="e">
        <f t="shared" si="55"/>
        <v>#VALUE!</v>
      </c>
      <c r="J200" s="6" t="e">
        <f t="shared" si="56"/>
        <v>#VALUE!</v>
      </c>
      <c r="K200" s="5" t="e">
        <f t="shared" si="49"/>
        <v>#VALUE!</v>
      </c>
      <c r="L200" s="5" t="e">
        <f t="shared" si="50"/>
        <v>#VALUE!</v>
      </c>
      <c r="M200" s="3"/>
      <c r="N200" s="3" t="e">
        <v>#N/A</v>
      </c>
      <c r="O200" s="11" t="e">
        <v>#N/A</v>
      </c>
      <c r="P200" s="7" t="e">
        <f t="shared" si="48"/>
        <v>#N/A</v>
      </c>
      <c r="Q200" s="7" t="e">
        <f t="shared" si="57"/>
        <v>#N/A</v>
      </c>
      <c r="R200" s="5" t="e">
        <f t="shared" si="51"/>
        <v>#N/A</v>
      </c>
      <c r="S200" s="5" t="e">
        <f t="shared" si="52"/>
        <v>#N/A</v>
      </c>
      <c r="U200">
        <v>100724</v>
      </c>
      <c r="V200" s="1">
        <f>VLOOKUP(A200,[2]Sheet1!$A:$B,2,0)</f>
        <v>505620</v>
      </c>
      <c r="W200" s="6">
        <f t="shared" si="58"/>
        <v>100724</v>
      </c>
      <c r="X200" s="6">
        <f t="shared" si="59"/>
        <v>404896</v>
      </c>
      <c r="Y200" s="5" t="e">
        <f t="shared" si="53"/>
        <v>#DIV/0!</v>
      </c>
      <c r="Z200" s="5">
        <f t="shared" si="54"/>
        <v>4.0198562408164884</v>
      </c>
      <c r="AA200" s="9" t="e">
        <v>#N/A</v>
      </c>
      <c r="AB200" s="10" t="e">
        <v>#N/A</v>
      </c>
      <c r="AD200" t="e">
        <v>#N/A</v>
      </c>
      <c r="AE200" s="1" t="e">
        <v>#N/A</v>
      </c>
      <c r="AF200" s="6" t="e">
        <f t="shared" si="60"/>
        <v>#N/A</v>
      </c>
      <c r="AG200" s="6" t="e">
        <f t="shared" si="61"/>
        <v>#N/A</v>
      </c>
      <c r="AH200" s="5" t="e">
        <f t="shared" si="62"/>
        <v>#N/A</v>
      </c>
      <c r="AI200" s="5" t="e">
        <f t="shared" si="63"/>
        <v>#N/A</v>
      </c>
    </row>
    <row r="201" spans="1:35" x14ac:dyDescent="0.25">
      <c r="A201" s="2" t="s">
        <v>202</v>
      </c>
      <c r="B201" t="s">
        <v>215</v>
      </c>
      <c r="C201" t="e">
        <f>VLOOKUP(A201,[1]FO!$A$2:$A$69,2,0)</f>
        <v>#N/A</v>
      </c>
      <c r="D201" s="4" t="e">
        <v>#N/A</v>
      </c>
      <c r="E201" s="10" t="e">
        <v>#N/A</v>
      </c>
      <c r="G201" t="e">
        <v>#N/A</v>
      </c>
      <c r="H201" s="1" t="e">
        <v>#N/A</v>
      </c>
      <c r="I201" s="6" t="e">
        <f t="shared" si="55"/>
        <v>#N/A</v>
      </c>
      <c r="J201" s="6" t="e">
        <f t="shared" si="56"/>
        <v>#N/A</v>
      </c>
      <c r="K201" s="5" t="e">
        <f t="shared" si="49"/>
        <v>#N/A</v>
      </c>
      <c r="L201" s="5" t="e">
        <f t="shared" si="50"/>
        <v>#N/A</v>
      </c>
      <c r="M201" s="3"/>
      <c r="N201" s="3" t="e">
        <v>#N/A</v>
      </c>
      <c r="O201" s="11" t="e">
        <v>#N/A</v>
      </c>
      <c r="P201" s="7" t="e">
        <f t="shared" si="48"/>
        <v>#N/A</v>
      </c>
      <c r="Q201" s="7" t="e">
        <f t="shared" si="57"/>
        <v>#N/A</v>
      </c>
      <c r="R201" s="5" t="e">
        <f t="shared" si="51"/>
        <v>#N/A</v>
      </c>
      <c r="S201" s="5" t="e">
        <f t="shared" si="52"/>
        <v>#N/A</v>
      </c>
      <c r="U201" t="e">
        <v>#N/A</v>
      </c>
      <c r="V201" s="1" t="e">
        <f>VLOOKUP(A201,[2]Sheet1!$A:$B,2,0)</f>
        <v>#N/A</v>
      </c>
      <c r="W201" s="6" t="e">
        <f t="shared" si="58"/>
        <v>#N/A</v>
      </c>
      <c r="X201" s="6" t="e">
        <f t="shared" si="59"/>
        <v>#N/A</v>
      </c>
      <c r="Y201" s="5" t="e">
        <f t="shared" si="53"/>
        <v>#N/A</v>
      </c>
      <c r="Z201" s="5" t="e">
        <f t="shared" si="54"/>
        <v>#N/A</v>
      </c>
      <c r="AA201" s="9" t="e">
        <v>#N/A</v>
      </c>
      <c r="AB201" s="10" t="e">
        <v>#N/A</v>
      </c>
      <c r="AD201" t="e">
        <v>#N/A</v>
      </c>
      <c r="AE201" s="1" t="e">
        <v>#N/A</v>
      </c>
      <c r="AF201" s="6" t="e">
        <f t="shared" si="60"/>
        <v>#N/A</v>
      </c>
      <c r="AG201" s="6" t="e">
        <f t="shared" si="61"/>
        <v>#N/A</v>
      </c>
      <c r="AH201" s="5" t="e">
        <f t="shared" si="62"/>
        <v>#N/A</v>
      </c>
      <c r="AI201" s="5" t="e">
        <f t="shared" si="63"/>
        <v>#N/A</v>
      </c>
    </row>
    <row r="202" spans="1:35" x14ac:dyDescent="0.25">
      <c r="A202" s="2" t="s">
        <v>203</v>
      </c>
      <c r="B202" t="s">
        <v>215</v>
      </c>
      <c r="C202" t="e">
        <f>VLOOKUP(A202,[1]FO!$A$2:$A$69,2,0)</f>
        <v>#N/A</v>
      </c>
      <c r="D202" s="4" t="e">
        <v>#N/A</v>
      </c>
      <c r="E202" s="10" t="e">
        <v>#N/A</v>
      </c>
      <c r="G202" t="s">
        <v>232</v>
      </c>
      <c r="H202" s="1">
        <v>55180</v>
      </c>
      <c r="I202" s="6" t="e">
        <f t="shared" si="55"/>
        <v>#VALUE!</v>
      </c>
      <c r="J202" s="6" t="e">
        <f t="shared" si="56"/>
        <v>#VALUE!</v>
      </c>
      <c r="K202" s="5" t="e">
        <f t="shared" si="49"/>
        <v>#VALUE!</v>
      </c>
      <c r="L202" s="5" t="e">
        <f t="shared" si="50"/>
        <v>#VALUE!</v>
      </c>
      <c r="M202" s="3"/>
      <c r="N202" s="3" t="e">
        <v>#N/A</v>
      </c>
      <c r="O202" s="11" t="e">
        <v>#N/A</v>
      </c>
      <c r="P202" s="7" t="e">
        <f t="shared" si="48"/>
        <v>#N/A</v>
      </c>
      <c r="Q202" s="7" t="e">
        <f t="shared" si="57"/>
        <v>#N/A</v>
      </c>
      <c r="R202" s="5" t="e">
        <f t="shared" si="51"/>
        <v>#N/A</v>
      </c>
      <c r="S202" s="5" t="e">
        <f t="shared" si="52"/>
        <v>#N/A</v>
      </c>
      <c r="U202">
        <v>1225383</v>
      </c>
      <c r="V202" s="1">
        <f>VLOOKUP(A202,[2]Sheet1!$A:$B,2,0)</f>
        <v>19526871</v>
      </c>
      <c r="W202" s="6">
        <f t="shared" si="58"/>
        <v>1225383</v>
      </c>
      <c r="X202" s="6">
        <f t="shared" si="59"/>
        <v>18301488</v>
      </c>
      <c r="Y202" s="5" t="e">
        <f t="shared" si="53"/>
        <v>#DIV/0!</v>
      </c>
      <c r="Z202" s="5">
        <f t="shared" si="54"/>
        <v>14.93532063036618</v>
      </c>
      <c r="AA202" s="9" t="e">
        <v>#N/A</v>
      </c>
      <c r="AB202" s="10" t="e">
        <v>#N/A</v>
      </c>
      <c r="AD202" t="e">
        <v>#N/A</v>
      </c>
      <c r="AE202" s="1" t="e">
        <v>#N/A</v>
      </c>
      <c r="AF202" s="6" t="e">
        <f t="shared" si="60"/>
        <v>#N/A</v>
      </c>
      <c r="AG202" s="6" t="e">
        <f t="shared" si="61"/>
        <v>#N/A</v>
      </c>
      <c r="AH202" s="5" t="e">
        <f t="shared" si="62"/>
        <v>#N/A</v>
      </c>
      <c r="AI202" s="5" t="e">
        <f t="shared" si="63"/>
        <v>#N/A</v>
      </c>
    </row>
    <row r="203" spans="1:35" x14ac:dyDescent="0.25">
      <c r="A203" s="2" t="s">
        <v>204</v>
      </c>
      <c r="B203" t="s">
        <v>215</v>
      </c>
      <c r="C203" t="e">
        <f>VLOOKUP(A203,[1]FO!$A$2:$A$69,2,0)</f>
        <v>#N/A</v>
      </c>
      <c r="D203" s="4">
        <v>-8.85</v>
      </c>
      <c r="E203" s="10">
        <v>42.4</v>
      </c>
      <c r="G203" t="s">
        <v>232</v>
      </c>
      <c r="H203" s="1">
        <v>144907</v>
      </c>
      <c r="I203" s="6" t="e">
        <f t="shared" si="55"/>
        <v>#VALUE!</v>
      </c>
      <c r="J203" s="6" t="e">
        <f t="shared" si="56"/>
        <v>#VALUE!</v>
      </c>
      <c r="K203" s="5" t="e">
        <f t="shared" si="49"/>
        <v>#VALUE!</v>
      </c>
      <c r="L203" s="5" t="e">
        <f t="shared" si="50"/>
        <v>#VALUE!</v>
      </c>
      <c r="M203" s="3"/>
      <c r="N203" s="3">
        <v>978.95</v>
      </c>
      <c r="O203" s="11">
        <v>43.36</v>
      </c>
      <c r="P203" s="7">
        <f t="shared" si="48"/>
        <v>978.95</v>
      </c>
      <c r="Q203" s="7">
        <f t="shared" si="57"/>
        <v>-935.59</v>
      </c>
      <c r="R203" s="5" t="e">
        <f t="shared" si="51"/>
        <v>#DIV/0!</v>
      </c>
      <c r="S203" s="5">
        <f t="shared" si="52"/>
        <v>-0.95570764594718827</v>
      </c>
      <c r="U203">
        <v>827843</v>
      </c>
      <c r="V203" s="1">
        <f>VLOOKUP(A203,[2]Sheet1!$A:$B,2,0)</f>
        <v>4336428</v>
      </c>
      <c r="W203" s="6">
        <f t="shared" si="58"/>
        <v>827843</v>
      </c>
      <c r="X203" s="6">
        <f t="shared" si="59"/>
        <v>3508585</v>
      </c>
      <c r="Y203" s="5" t="e">
        <f t="shared" si="53"/>
        <v>#DIV/0!</v>
      </c>
      <c r="Z203" s="5">
        <f t="shared" si="54"/>
        <v>4.238225122396396</v>
      </c>
      <c r="AA203" s="9">
        <v>-1980000</v>
      </c>
      <c r="AB203" s="10">
        <v>-534000</v>
      </c>
      <c r="AD203">
        <v>5695</v>
      </c>
      <c r="AE203" s="1">
        <v>2976</v>
      </c>
      <c r="AF203" s="6">
        <f t="shared" si="60"/>
        <v>5695</v>
      </c>
      <c r="AG203" s="6">
        <f t="shared" si="61"/>
        <v>-2719</v>
      </c>
      <c r="AH203" s="5" t="e">
        <f t="shared" si="62"/>
        <v>#DIV/0!</v>
      </c>
      <c r="AI203" s="5">
        <f t="shared" si="63"/>
        <v>-0.47743634767339771</v>
      </c>
    </row>
    <row r="204" spans="1:35" x14ac:dyDescent="0.25">
      <c r="A204" s="2" t="s">
        <v>205</v>
      </c>
      <c r="B204" t="s">
        <v>215</v>
      </c>
      <c r="C204" t="e">
        <f>VLOOKUP(A204,[1]FO!$A$2:$A$69,2,0)</f>
        <v>#N/A</v>
      </c>
      <c r="D204" s="4">
        <v>-57.65</v>
      </c>
      <c r="E204" s="10">
        <v>-73.349999999999994</v>
      </c>
      <c r="G204" t="s">
        <v>232</v>
      </c>
      <c r="H204" s="1">
        <v>68066</v>
      </c>
      <c r="I204" s="6" t="e">
        <f t="shared" si="55"/>
        <v>#VALUE!</v>
      </c>
      <c r="J204" s="6" t="e">
        <f t="shared" si="56"/>
        <v>#VALUE!</v>
      </c>
      <c r="K204" s="5" t="e">
        <f t="shared" si="49"/>
        <v>#VALUE!</v>
      </c>
      <c r="L204" s="5" t="e">
        <f t="shared" si="50"/>
        <v>#VALUE!</v>
      </c>
      <c r="M204" s="3"/>
      <c r="N204" s="3">
        <v>2472</v>
      </c>
      <c r="O204" s="11">
        <v>7.11</v>
      </c>
      <c r="P204" s="7">
        <f t="shared" si="48"/>
        <v>2472</v>
      </c>
      <c r="Q204" s="7">
        <f t="shared" si="57"/>
        <v>-2464.89</v>
      </c>
      <c r="R204" s="5" t="e">
        <f t="shared" si="51"/>
        <v>#DIV/0!</v>
      </c>
      <c r="S204" s="5">
        <f t="shared" si="52"/>
        <v>-0.99712378640776689</v>
      </c>
      <c r="U204">
        <v>142767</v>
      </c>
      <c r="V204" s="1">
        <f>VLOOKUP(A204,[2]Sheet1!$A:$B,2,0)</f>
        <v>711473</v>
      </c>
      <c r="W204" s="6">
        <f t="shared" si="58"/>
        <v>142767</v>
      </c>
      <c r="X204" s="6">
        <f t="shared" si="59"/>
        <v>568706</v>
      </c>
      <c r="Y204" s="5" t="e">
        <f t="shared" si="53"/>
        <v>#DIV/0!</v>
      </c>
      <c r="Z204" s="5">
        <f t="shared" si="54"/>
        <v>3.9834555604586495</v>
      </c>
      <c r="AA204" s="9">
        <v>-412500</v>
      </c>
      <c r="AB204" s="10">
        <v>-107000</v>
      </c>
      <c r="AD204">
        <v>2756</v>
      </c>
      <c r="AE204" s="1">
        <v>702</v>
      </c>
      <c r="AF204" s="6">
        <f t="shared" si="60"/>
        <v>2756</v>
      </c>
      <c r="AG204" s="6">
        <f t="shared" si="61"/>
        <v>-2054</v>
      </c>
      <c r="AH204" s="5" t="e">
        <f t="shared" si="62"/>
        <v>#DIV/0!</v>
      </c>
      <c r="AI204" s="5">
        <f t="shared" si="63"/>
        <v>-0.74528301886792447</v>
      </c>
    </row>
    <row r="205" spans="1:35" x14ac:dyDescent="0.25">
      <c r="A205" s="2" t="s">
        <v>206</v>
      </c>
      <c r="B205" t="s">
        <v>215</v>
      </c>
      <c r="C205" t="e">
        <f>VLOOKUP(A205,[1]FO!$A$2:$A$69,2,0)</f>
        <v>#N/A</v>
      </c>
      <c r="D205" s="4">
        <v>13.3</v>
      </c>
      <c r="E205" s="10">
        <v>9.25</v>
      </c>
      <c r="G205" t="s">
        <v>232</v>
      </c>
      <c r="H205" s="1">
        <v>20676</v>
      </c>
      <c r="I205" s="6" t="e">
        <f t="shared" si="55"/>
        <v>#VALUE!</v>
      </c>
      <c r="J205" s="6" t="e">
        <f t="shared" si="56"/>
        <v>#VALUE!</v>
      </c>
      <c r="K205" s="5" t="e">
        <f t="shared" si="49"/>
        <v>#VALUE!</v>
      </c>
      <c r="L205" s="5" t="e">
        <f t="shared" si="50"/>
        <v>#VALUE!</v>
      </c>
      <c r="M205" s="3"/>
      <c r="N205" s="3">
        <v>335.65</v>
      </c>
      <c r="O205" s="11">
        <v>15.56</v>
      </c>
      <c r="P205" s="7">
        <f t="shared" si="48"/>
        <v>335.65</v>
      </c>
      <c r="Q205" s="7">
        <f t="shared" si="57"/>
        <v>-320.08999999999997</v>
      </c>
      <c r="R205" s="5" t="e">
        <f t="shared" si="51"/>
        <v>#DIV/0!</v>
      </c>
      <c r="S205" s="5">
        <f t="shared" si="52"/>
        <v>-0.95364218680172796</v>
      </c>
      <c r="U205">
        <v>134390</v>
      </c>
      <c r="V205" s="1">
        <f>VLOOKUP(A205,[2]Sheet1!$A:$B,2,0)</f>
        <v>1555954</v>
      </c>
      <c r="W205" s="6">
        <f t="shared" si="58"/>
        <v>134390</v>
      </c>
      <c r="X205" s="6">
        <f t="shared" si="59"/>
        <v>1421564</v>
      </c>
      <c r="Y205" s="5" t="e">
        <f t="shared" si="53"/>
        <v>#DIV/0!</v>
      </c>
      <c r="Z205" s="5">
        <f t="shared" si="54"/>
        <v>10.577900141379567</v>
      </c>
      <c r="AA205" s="9">
        <v>-351000</v>
      </c>
      <c r="AB205" s="10">
        <v>-543000</v>
      </c>
      <c r="AD205">
        <v>547</v>
      </c>
      <c r="AE205" s="1">
        <v>469</v>
      </c>
      <c r="AF205" s="6">
        <f t="shared" si="60"/>
        <v>547</v>
      </c>
      <c r="AG205" s="6">
        <f t="shared" si="61"/>
        <v>-78</v>
      </c>
      <c r="AH205" s="5" t="e">
        <f t="shared" si="62"/>
        <v>#DIV/0!</v>
      </c>
      <c r="AI205" s="5">
        <f t="shared" si="63"/>
        <v>-0.14259597806215721</v>
      </c>
    </row>
    <row r="206" spans="1:35" x14ac:dyDescent="0.25">
      <c r="A206" s="2" t="s">
        <v>207</v>
      </c>
      <c r="B206" t="s">
        <v>215</v>
      </c>
      <c r="C206" t="e">
        <f>VLOOKUP(A206,[1]FO!$A$2:$A$69,2,0)</f>
        <v>#N/A</v>
      </c>
      <c r="D206" s="4" t="e">
        <v>#N/A</v>
      </c>
      <c r="E206" s="10" t="e">
        <v>#N/A</v>
      </c>
      <c r="G206" t="s">
        <v>232</v>
      </c>
      <c r="H206" s="1">
        <v>6589</v>
      </c>
      <c r="I206" s="6" t="e">
        <f t="shared" si="55"/>
        <v>#VALUE!</v>
      </c>
      <c r="J206" s="6" t="e">
        <f t="shared" si="56"/>
        <v>#VALUE!</v>
      </c>
      <c r="K206" s="5" t="e">
        <f t="shared" si="49"/>
        <v>#VALUE!</v>
      </c>
      <c r="L206" s="5" t="e">
        <f t="shared" si="50"/>
        <v>#VALUE!</v>
      </c>
      <c r="M206" s="3"/>
      <c r="N206" s="3" t="e">
        <v>#N/A</v>
      </c>
      <c r="O206" s="11" t="e">
        <v>#N/A</v>
      </c>
      <c r="P206" s="7" t="e">
        <f t="shared" si="48"/>
        <v>#N/A</v>
      </c>
      <c r="Q206" s="7" t="e">
        <f t="shared" si="57"/>
        <v>#N/A</v>
      </c>
      <c r="R206" s="5" t="e">
        <f t="shared" si="51"/>
        <v>#N/A</v>
      </c>
      <c r="S206" s="5" t="e">
        <f t="shared" si="52"/>
        <v>#N/A</v>
      </c>
      <c r="U206">
        <v>987003</v>
      </c>
      <c r="V206" s="1">
        <f>VLOOKUP(A206,[2]Sheet1!$A:$B,2,0)</f>
        <v>3849824</v>
      </c>
      <c r="W206" s="6">
        <f t="shared" si="58"/>
        <v>987003</v>
      </c>
      <c r="X206" s="6">
        <f t="shared" si="59"/>
        <v>2862821</v>
      </c>
      <c r="Y206" s="5" t="e">
        <f t="shared" si="53"/>
        <v>#DIV/0!</v>
      </c>
      <c r="Z206" s="5">
        <f t="shared" si="54"/>
        <v>2.9005190460414001</v>
      </c>
      <c r="AA206" s="9" t="e">
        <v>#N/A</v>
      </c>
      <c r="AB206" s="10" t="e">
        <v>#N/A</v>
      </c>
      <c r="AD206" t="e">
        <v>#N/A</v>
      </c>
      <c r="AE206" s="1" t="e">
        <v>#N/A</v>
      </c>
      <c r="AF206" s="6" t="e">
        <f t="shared" si="60"/>
        <v>#N/A</v>
      </c>
      <c r="AG206" s="6" t="e">
        <f t="shared" si="61"/>
        <v>#N/A</v>
      </c>
      <c r="AH206" s="5" t="e">
        <f t="shared" si="62"/>
        <v>#N/A</v>
      </c>
      <c r="AI206" s="5" t="e">
        <f t="shared" si="63"/>
        <v>#N/A</v>
      </c>
    </row>
    <row r="207" spans="1:35" x14ac:dyDescent="0.25">
      <c r="A207" s="2" t="s">
        <v>208</v>
      </c>
      <c r="B207" t="s">
        <v>215</v>
      </c>
      <c r="C207" t="e">
        <f>VLOOKUP(A207,[1]FO!$A$2:$A$69,2,0)</f>
        <v>#N/A</v>
      </c>
      <c r="D207" s="4">
        <v>13.2</v>
      </c>
      <c r="E207" s="10">
        <v>18.600000000000001</v>
      </c>
      <c r="G207" t="s">
        <v>232</v>
      </c>
      <c r="H207" s="1">
        <v>119600</v>
      </c>
      <c r="I207" s="6" t="e">
        <f t="shared" si="55"/>
        <v>#VALUE!</v>
      </c>
      <c r="J207" s="6" t="e">
        <f t="shared" si="56"/>
        <v>#VALUE!</v>
      </c>
      <c r="K207" s="5" t="e">
        <f t="shared" si="49"/>
        <v>#VALUE!</v>
      </c>
      <c r="L207" s="5" t="e">
        <f t="shared" si="50"/>
        <v>#VALUE!</v>
      </c>
      <c r="M207" s="3"/>
      <c r="N207" s="3">
        <v>334.1</v>
      </c>
      <c r="O207" s="11">
        <v>82.2</v>
      </c>
      <c r="P207" s="7">
        <f t="shared" si="48"/>
        <v>334.1</v>
      </c>
      <c r="Q207" s="7">
        <f t="shared" si="57"/>
        <v>-251.90000000000003</v>
      </c>
      <c r="R207" s="5" t="e">
        <f t="shared" si="51"/>
        <v>#DIV/0!</v>
      </c>
      <c r="S207" s="5">
        <f t="shared" si="52"/>
        <v>-0.75396587847949725</v>
      </c>
      <c r="U207">
        <v>1283940</v>
      </c>
      <c r="V207" s="1">
        <f>VLOOKUP(A207,[2]Sheet1!$A:$B,2,0)</f>
        <v>8220150</v>
      </c>
      <c r="W207" s="6">
        <f t="shared" si="58"/>
        <v>1283940</v>
      </c>
      <c r="X207" s="6">
        <f t="shared" si="59"/>
        <v>6936210</v>
      </c>
      <c r="Y207" s="5" t="e">
        <f t="shared" si="53"/>
        <v>#DIV/0!</v>
      </c>
      <c r="Z207" s="5">
        <f t="shared" si="54"/>
        <v>5.4022851535118459</v>
      </c>
      <c r="AA207" s="9">
        <v>-1069200</v>
      </c>
      <c r="AB207" s="10">
        <v>-788400</v>
      </c>
      <c r="AD207">
        <v>3584</v>
      </c>
      <c r="AE207" s="1">
        <v>2877</v>
      </c>
      <c r="AF207" s="6">
        <f t="shared" si="60"/>
        <v>3584</v>
      </c>
      <c r="AG207" s="6">
        <f t="shared" si="61"/>
        <v>-707</v>
      </c>
      <c r="AH207" s="5" t="e">
        <f t="shared" si="62"/>
        <v>#DIV/0!</v>
      </c>
      <c r="AI207" s="5">
        <f t="shared" si="63"/>
        <v>-0.197265625</v>
      </c>
    </row>
    <row r="208" spans="1:35" x14ac:dyDescent="0.25">
      <c r="A208" s="2" t="s">
        <v>209</v>
      </c>
      <c r="B208" t="s">
        <v>215</v>
      </c>
      <c r="C208" t="e">
        <f>VLOOKUP(A208,[1]FO!$A$2:$A$69,2,0)</f>
        <v>#N/A</v>
      </c>
      <c r="D208" s="4">
        <v>18</v>
      </c>
      <c r="E208" s="10">
        <v>-3.85</v>
      </c>
      <c r="G208" t="s">
        <v>232</v>
      </c>
      <c r="H208" s="1">
        <v>17514</v>
      </c>
      <c r="I208" s="6" t="e">
        <f t="shared" si="55"/>
        <v>#VALUE!</v>
      </c>
      <c r="J208" s="6" t="e">
        <f t="shared" si="56"/>
        <v>#VALUE!</v>
      </c>
      <c r="K208" s="5" t="e">
        <f t="shared" si="49"/>
        <v>#VALUE!</v>
      </c>
      <c r="L208" s="5" t="e">
        <f t="shared" si="50"/>
        <v>#VALUE!</v>
      </c>
      <c r="M208" s="3"/>
      <c r="N208" s="3">
        <v>961</v>
      </c>
      <c r="O208" s="11">
        <v>5</v>
      </c>
      <c r="P208" s="7">
        <f t="shared" si="48"/>
        <v>961</v>
      </c>
      <c r="Q208" s="7">
        <f t="shared" si="57"/>
        <v>-956</v>
      </c>
      <c r="R208" s="5" t="e">
        <f t="shared" si="51"/>
        <v>#DIV/0!</v>
      </c>
      <c r="S208" s="5">
        <f t="shared" si="52"/>
        <v>-0.99479708636836628</v>
      </c>
      <c r="U208">
        <v>397830</v>
      </c>
      <c r="V208" s="1">
        <f>VLOOKUP(A208,[2]Sheet1!$A:$B,2,0)</f>
        <v>499712</v>
      </c>
      <c r="W208" s="6">
        <f t="shared" si="58"/>
        <v>397830</v>
      </c>
      <c r="X208" s="6">
        <f t="shared" si="59"/>
        <v>101882</v>
      </c>
      <c r="Y208" s="5" t="e">
        <f t="shared" si="53"/>
        <v>#DIV/0!</v>
      </c>
      <c r="Z208" s="5">
        <f t="shared" si="54"/>
        <v>0.25609431164065055</v>
      </c>
      <c r="AA208" s="9">
        <v>-140000</v>
      </c>
      <c r="AB208" s="10">
        <v>-227500</v>
      </c>
      <c r="AD208">
        <v>1018</v>
      </c>
      <c r="AE208" s="1">
        <v>654</v>
      </c>
      <c r="AF208" s="6">
        <f t="shared" si="60"/>
        <v>1018</v>
      </c>
      <c r="AG208" s="6">
        <f t="shared" si="61"/>
        <v>-364</v>
      </c>
      <c r="AH208" s="5" t="e">
        <f t="shared" si="62"/>
        <v>#DIV/0!</v>
      </c>
      <c r="AI208" s="5">
        <f t="shared" si="63"/>
        <v>-0.35756385068762281</v>
      </c>
    </row>
    <row r="209" spans="1:35" x14ac:dyDescent="0.25">
      <c r="A209" s="2" t="s">
        <v>210</v>
      </c>
      <c r="B209" t="s">
        <v>215</v>
      </c>
      <c r="C209" t="e">
        <f>VLOOKUP(A209,[1]FO!$A$2:$A$69,2,0)</f>
        <v>#N/A</v>
      </c>
      <c r="D209" s="4">
        <v>0.6</v>
      </c>
      <c r="E209" s="10">
        <v>-0.05</v>
      </c>
      <c r="G209" t="s">
        <v>232</v>
      </c>
      <c r="H209" s="1">
        <v>33649</v>
      </c>
      <c r="I209" s="6" t="e">
        <f t="shared" si="55"/>
        <v>#VALUE!</v>
      </c>
      <c r="J209" s="6" t="e">
        <f t="shared" si="56"/>
        <v>#VALUE!</v>
      </c>
      <c r="K209" s="5" t="e">
        <f t="shared" si="49"/>
        <v>#VALUE!</v>
      </c>
      <c r="L209" s="5" t="e">
        <f t="shared" si="50"/>
        <v>#VALUE!</v>
      </c>
      <c r="M209" s="3"/>
      <c r="N209" s="3">
        <v>183.8</v>
      </c>
      <c r="O209" s="11">
        <v>45.23</v>
      </c>
      <c r="P209" s="7">
        <f t="shared" si="48"/>
        <v>183.8</v>
      </c>
      <c r="Q209" s="7">
        <f t="shared" si="57"/>
        <v>-138.57000000000002</v>
      </c>
      <c r="R209" s="5" t="e">
        <f t="shared" si="51"/>
        <v>#DIV/0!</v>
      </c>
      <c r="S209" s="5">
        <f t="shared" si="52"/>
        <v>-0.75391730141458113</v>
      </c>
      <c r="U209">
        <v>1293300</v>
      </c>
      <c r="V209" s="1">
        <f>VLOOKUP(A209,[2]Sheet1!$A:$B,2,0)</f>
        <v>4523168</v>
      </c>
      <c r="W209" s="6">
        <f t="shared" si="58"/>
        <v>1293300</v>
      </c>
      <c r="X209" s="6">
        <f t="shared" si="59"/>
        <v>3229868</v>
      </c>
      <c r="Y209" s="5" t="e">
        <f t="shared" si="53"/>
        <v>#DIV/0!</v>
      </c>
      <c r="Z209" s="5">
        <f t="shared" si="54"/>
        <v>2.4973849841490758</v>
      </c>
      <c r="AA209" s="9">
        <v>-816000</v>
      </c>
      <c r="AB209" s="10">
        <v>-775200</v>
      </c>
      <c r="AD209">
        <v>3570</v>
      </c>
      <c r="AE209" s="1">
        <v>1507</v>
      </c>
      <c r="AF209" s="6">
        <f t="shared" si="60"/>
        <v>3570</v>
      </c>
      <c r="AG209" s="6">
        <f t="shared" si="61"/>
        <v>-2063</v>
      </c>
      <c r="AH209" s="5" t="e">
        <f t="shared" si="62"/>
        <v>#DIV/0!</v>
      </c>
      <c r="AI209" s="5">
        <f t="shared" si="63"/>
        <v>-0.5778711484593837</v>
      </c>
    </row>
    <row r="210" spans="1:35" x14ac:dyDescent="0.25">
      <c r="A210" s="2" t="s">
        <v>211</v>
      </c>
      <c r="B210" t="s">
        <v>215</v>
      </c>
      <c r="C210" t="e">
        <f>VLOOKUP(A210,[1]FO!$A$2:$A$69,2,0)</f>
        <v>#N/A</v>
      </c>
      <c r="D210" s="4" t="e">
        <v>#N/A</v>
      </c>
      <c r="E210" s="10" t="e">
        <v>#N/A</v>
      </c>
      <c r="G210" t="s">
        <v>232</v>
      </c>
      <c r="H210" s="1">
        <v>12960</v>
      </c>
      <c r="I210" s="6" t="e">
        <f t="shared" si="55"/>
        <v>#VALUE!</v>
      </c>
      <c r="J210" s="6" t="e">
        <f t="shared" si="56"/>
        <v>#VALUE!</v>
      </c>
      <c r="K210" s="5" t="e">
        <f t="shared" si="49"/>
        <v>#VALUE!</v>
      </c>
      <c r="L210" s="5" t="e">
        <f t="shared" si="50"/>
        <v>#VALUE!</v>
      </c>
      <c r="M210" s="3"/>
      <c r="N210" s="3" t="e">
        <v>#N/A</v>
      </c>
      <c r="O210" s="11" t="e">
        <v>#N/A</v>
      </c>
      <c r="P210" s="7" t="e">
        <f t="shared" si="48"/>
        <v>#N/A</v>
      </c>
      <c r="Q210" s="7" t="e">
        <f t="shared" si="57"/>
        <v>#N/A</v>
      </c>
      <c r="R210" s="5" t="e">
        <f t="shared" si="51"/>
        <v>#N/A</v>
      </c>
      <c r="S210" s="5" t="e">
        <f t="shared" si="52"/>
        <v>#N/A</v>
      </c>
      <c r="U210">
        <v>2218942</v>
      </c>
      <c r="V210" s="1">
        <f>VLOOKUP(A210,[2]Sheet1!$A:$B,2,0)</f>
        <v>4765418</v>
      </c>
      <c r="W210" s="6">
        <f t="shared" si="58"/>
        <v>2218942</v>
      </c>
      <c r="X210" s="6">
        <f t="shared" si="59"/>
        <v>2546476</v>
      </c>
      <c r="Y210" s="5" t="e">
        <f t="shared" si="53"/>
        <v>#DIV/0!</v>
      </c>
      <c r="Z210" s="5">
        <f t="shared" si="54"/>
        <v>1.1476081844410535</v>
      </c>
      <c r="AA210" s="9" t="e">
        <v>#N/A</v>
      </c>
      <c r="AB210" s="10" t="e">
        <v>#N/A</v>
      </c>
      <c r="AD210" t="e">
        <v>#N/A</v>
      </c>
      <c r="AE210" s="1" t="e">
        <v>#N/A</v>
      </c>
      <c r="AF210" s="6" t="e">
        <f t="shared" si="60"/>
        <v>#N/A</v>
      </c>
      <c r="AG210" s="6" t="e">
        <f t="shared" si="61"/>
        <v>#N/A</v>
      </c>
      <c r="AH210" s="5" t="e">
        <f t="shared" si="62"/>
        <v>#N/A</v>
      </c>
      <c r="AI210" s="5" t="e">
        <f t="shared" si="63"/>
        <v>#N/A</v>
      </c>
    </row>
    <row r="211" spans="1:35" x14ac:dyDescent="0.25">
      <c r="A211" s="2" t="s">
        <v>212</v>
      </c>
      <c r="B211" t="s">
        <v>215</v>
      </c>
      <c r="C211" t="e">
        <f>VLOOKUP(A211,[1]FO!$A$2:$A$69,2,0)</f>
        <v>#N/A</v>
      </c>
      <c r="D211" s="4" t="e">
        <v>#N/A</v>
      </c>
      <c r="E211" s="10" t="e">
        <v>#N/A</v>
      </c>
      <c r="G211" t="s">
        <v>232</v>
      </c>
      <c r="H211" s="1">
        <v>10133</v>
      </c>
      <c r="I211" s="6" t="e">
        <f t="shared" si="55"/>
        <v>#VALUE!</v>
      </c>
      <c r="J211" s="6" t="e">
        <f t="shared" si="56"/>
        <v>#VALUE!</v>
      </c>
      <c r="K211" s="5" t="e">
        <f t="shared" si="49"/>
        <v>#VALUE!</v>
      </c>
      <c r="L211" s="5" t="e">
        <f t="shared" si="50"/>
        <v>#VALUE!</v>
      </c>
      <c r="M211" s="3"/>
      <c r="N211" s="3" t="e">
        <v>#N/A</v>
      </c>
      <c r="O211" s="11" t="e">
        <v>#N/A</v>
      </c>
      <c r="P211" s="7" t="e">
        <f t="shared" si="48"/>
        <v>#N/A</v>
      </c>
      <c r="Q211" s="7" t="e">
        <f t="shared" si="57"/>
        <v>#N/A</v>
      </c>
      <c r="R211" s="5" t="e">
        <f t="shared" si="51"/>
        <v>#N/A</v>
      </c>
      <c r="S211" s="5" t="e">
        <f t="shared" si="52"/>
        <v>#N/A</v>
      </c>
      <c r="U211">
        <v>349236</v>
      </c>
      <c r="V211" s="1">
        <f>VLOOKUP(A211,[2]Sheet1!$A:$B,2,0)</f>
        <v>381264</v>
      </c>
      <c r="W211" s="6">
        <f t="shared" si="58"/>
        <v>349236</v>
      </c>
      <c r="X211" s="6">
        <f t="shared" si="59"/>
        <v>32028</v>
      </c>
      <c r="Y211" s="5" t="e">
        <f t="shared" si="53"/>
        <v>#DIV/0!</v>
      </c>
      <c r="Z211" s="5">
        <f t="shared" si="54"/>
        <v>9.1708758547228805E-2</v>
      </c>
      <c r="AA211" s="9" t="e">
        <v>#N/A</v>
      </c>
      <c r="AB211" s="10" t="e">
        <v>#N/A</v>
      </c>
      <c r="AD211" t="e">
        <v>#N/A</v>
      </c>
      <c r="AE211" s="1" t="e">
        <v>#N/A</v>
      </c>
      <c r="AF211" s="6" t="e">
        <f t="shared" si="60"/>
        <v>#N/A</v>
      </c>
      <c r="AG211" s="6" t="e">
        <f t="shared" si="61"/>
        <v>#N/A</v>
      </c>
      <c r="AH211" s="5" t="e">
        <f t="shared" si="62"/>
        <v>#N/A</v>
      </c>
      <c r="AI211" s="5" t="e">
        <f t="shared" si="63"/>
        <v>#N/A</v>
      </c>
    </row>
    <row r="212" spans="1:35" x14ac:dyDescent="0.25">
      <c r="A212" s="2" t="s">
        <v>213</v>
      </c>
      <c r="B212" t="s">
        <v>215</v>
      </c>
      <c r="C212" t="e">
        <f>VLOOKUP(A212,[1]FO!$A$2:$A$69,2,0)</f>
        <v>#N/A</v>
      </c>
      <c r="D212" s="4">
        <v>-6.95</v>
      </c>
      <c r="E212" s="10">
        <v>14.6</v>
      </c>
      <c r="G212" t="s">
        <v>232</v>
      </c>
      <c r="H212" s="1">
        <v>53841</v>
      </c>
      <c r="I212" s="6" t="e">
        <f t="shared" si="55"/>
        <v>#VALUE!</v>
      </c>
      <c r="J212" s="6" t="e">
        <f t="shared" si="56"/>
        <v>#VALUE!</v>
      </c>
      <c r="K212" s="5" t="e">
        <f t="shared" si="49"/>
        <v>#VALUE!</v>
      </c>
      <c r="L212" s="5" t="e">
        <f t="shared" si="50"/>
        <v>#VALUE!</v>
      </c>
      <c r="M212" s="3"/>
      <c r="N212" s="3">
        <v>517.5</v>
      </c>
      <c r="O212" s="11">
        <v>29.5</v>
      </c>
      <c r="P212" s="7">
        <f t="shared" si="48"/>
        <v>517.5</v>
      </c>
      <c r="Q212" s="7">
        <f t="shared" si="57"/>
        <v>-488</v>
      </c>
      <c r="R212" s="5" t="e">
        <f t="shared" si="51"/>
        <v>#DIV/0!</v>
      </c>
      <c r="S212" s="5">
        <f t="shared" si="52"/>
        <v>-0.94299516908212555</v>
      </c>
      <c r="U212">
        <v>720582</v>
      </c>
      <c r="V212" s="1">
        <f>VLOOKUP(A212,[2]Sheet1!$A:$B,2,0)</f>
        <v>2950356</v>
      </c>
      <c r="W212" s="6">
        <f t="shared" si="58"/>
        <v>720582</v>
      </c>
      <c r="X212" s="6">
        <f t="shared" si="59"/>
        <v>2229774</v>
      </c>
      <c r="Y212" s="5" t="e">
        <f t="shared" si="53"/>
        <v>#DIV/0!</v>
      </c>
      <c r="Z212" s="5">
        <f t="shared" si="54"/>
        <v>3.0944070209913654</v>
      </c>
      <c r="AA212" s="9">
        <v>-277000</v>
      </c>
      <c r="AB212" s="10">
        <v>-564000</v>
      </c>
      <c r="AD212">
        <v>1746</v>
      </c>
      <c r="AE212" s="1">
        <v>1625</v>
      </c>
      <c r="AF212" s="6">
        <f t="shared" si="60"/>
        <v>1746</v>
      </c>
      <c r="AG212" s="6">
        <f t="shared" si="61"/>
        <v>-121</v>
      </c>
      <c r="AH212" s="5" t="e">
        <f t="shared" si="62"/>
        <v>#DIV/0!</v>
      </c>
      <c r="AI212" s="5">
        <f t="shared" si="63"/>
        <v>-6.9301260022909511E-2</v>
      </c>
    </row>
    <row r="213" spans="1:35" x14ac:dyDescent="0.25">
      <c r="A213" s="2" t="s">
        <v>214</v>
      </c>
      <c r="B213" t="s">
        <v>215</v>
      </c>
      <c r="C213" t="e">
        <f>VLOOKUP(A213,[1]FO!$A$2:$A$69,2,0)</f>
        <v>#N/A</v>
      </c>
      <c r="D213" s="4" t="e">
        <v>#N/A</v>
      </c>
      <c r="E213" s="10" t="e">
        <v>#N/A</v>
      </c>
      <c r="G213" t="s">
        <v>232</v>
      </c>
      <c r="H213" s="1">
        <v>9823</v>
      </c>
      <c r="I213" s="6" t="e">
        <f t="shared" si="55"/>
        <v>#VALUE!</v>
      </c>
      <c r="J213" s="6" t="e">
        <f t="shared" si="56"/>
        <v>#VALUE!</v>
      </c>
      <c r="K213" s="5" t="e">
        <f t="shared" si="49"/>
        <v>#VALUE!</v>
      </c>
      <c r="L213" s="5" t="e">
        <f t="shared" si="50"/>
        <v>#VALUE!</v>
      </c>
      <c r="M213" s="3"/>
      <c r="N213" s="3" t="e">
        <v>#N/A</v>
      </c>
      <c r="O213" s="11" t="e">
        <v>#N/A</v>
      </c>
      <c r="P213" s="7" t="e">
        <f t="shared" si="48"/>
        <v>#N/A</v>
      </c>
      <c r="Q213" s="7" t="e">
        <f t="shared" si="57"/>
        <v>#N/A</v>
      </c>
      <c r="R213" s="5" t="e">
        <f t="shared" si="51"/>
        <v>#N/A</v>
      </c>
      <c r="S213" s="5" t="e">
        <f t="shared" si="52"/>
        <v>#N/A</v>
      </c>
      <c r="U213">
        <v>90607</v>
      </c>
      <c r="V213" s="1">
        <f>VLOOKUP(A213,[2]Sheet1!$A:$B,2,0)</f>
        <v>366901</v>
      </c>
      <c r="W213" s="6">
        <f t="shared" si="58"/>
        <v>90607</v>
      </c>
      <c r="X213" s="6">
        <f t="shared" si="59"/>
        <v>276294</v>
      </c>
      <c r="Y213" s="5" t="e">
        <f t="shared" si="53"/>
        <v>#DIV/0!</v>
      </c>
      <c r="Z213" s="5">
        <f t="shared" si="54"/>
        <v>3.0493670466961715</v>
      </c>
      <c r="AA213" s="9" t="e">
        <v>#N/A</v>
      </c>
      <c r="AB213" s="10" t="e">
        <v>#N/A</v>
      </c>
      <c r="AD213" t="e">
        <v>#N/A</v>
      </c>
      <c r="AE213" s="1" t="e">
        <v>#N/A</v>
      </c>
      <c r="AF213" s="6" t="e">
        <f t="shared" si="60"/>
        <v>#N/A</v>
      </c>
      <c r="AG213" s="6" t="e">
        <f t="shared" si="61"/>
        <v>#N/A</v>
      </c>
      <c r="AH213" s="5" t="e">
        <f t="shared" si="62"/>
        <v>#N/A</v>
      </c>
      <c r="AI213" s="5" t="e">
        <f t="shared" si="63"/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</cp:lastModifiedBy>
  <dcterms:created xsi:type="dcterms:W3CDTF">2020-04-28T13:33:57Z</dcterms:created>
  <dcterms:modified xsi:type="dcterms:W3CDTF">2020-05-01T04:28:55Z</dcterms:modified>
</cp:coreProperties>
</file>