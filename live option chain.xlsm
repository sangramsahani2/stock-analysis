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be7f09174c9aa17/Documents/MASTER/"/>
    </mc:Choice>
  </mc:AlternateContent>
  <xr:revisionPtr revIDLastSave="1" documentId="8_{755E8028-58AF-43AE-B726-1CF8C2454CC8}" xr6:coauthVersionLast="47" xr6:coauthVersionMax="47" xr10:uidLastSave="{A5E6217D-061A-4E7A-B834-3BE6EA5D214C}"/>
  <bookViews>
    <workbookView xWindow="-108" yWindow="-108" windowWidth="23256" windowHeight="13176" xr2:uid="{9AA06391-FF7A-4DED-B640-603B7D766C45}"/>
  </bookViews>
  <sheets>
    <sheet name="Sheet2" sheetId="2" r:id="rId1"/>
    <sheet name="Sheet3" sheetId="3" r:id="rId2"/>
  </sheets>
  <definedNames>
    <definedName name="ExternalData_1" localSheetId="0" hidden="1">Sheet2!$A$2:$U$88</definedName>
    <definedName name="ExternalData_1" localSheetId="1" hidden="1">Sheet3!$A$1:$B$9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45E768-8286-415C-9B3C-06B0C1639BB0}" keepAlive="1" name="Query - marketStatus" description="Connection to the 'marketStatus' query in the workbook." type="5" refreshedVersion="7" background="1" saveData="1">
    <dbPr connection="Provider=Microsoft.Mashup.OleDb.1;Data Source=$Workbook$;Location=marketStatus;Extended Properties=&quot;&quot;" command="SELECT * FROM [marketStatus]"/>
  </connection>
  <connection id="2" xr16:uid="{5AFC5CE7-1732-46A5-BA86-BD19923CECFD}" keepAlive="1" name="Query - option-chain-indices?symbol=NIFTY" description="Connection to the 'option-chain-indices?symbol=NIFTY' query in the workbook." type="5" refreshedVersion="7" background="1" saveData="1">
    <dbPr connection="Provider=Microsoft.Mashup.OleDb.1;Data Source=$Workbook$;Location=&quot;option-chain-indices?symbol=NIFTY&quot;;Extended Properties=&quot;&quot;" command="SELECT * FROM [option-chain-indices?symbol=NIFTY]"/>
  </connection>
</connections>
</file>

<file path=xl/sharedStrings.xml><?xml version="1.0" encoding="utf-8"?>
<sst xmlns="http://schemas.openxmlformats.org/spreadsheetml/2006/main" count="127" uniqueCount="39">
  <si>
    <t>strikePrice</t>
  </si>
  <si>
    <t>CALL</t>
  </si>
  <si>
    <t>PUT</t>
  </si>
  <si>
    <t>Column1.expiryDate</t>
  </si>
  <si>
    <t>P.COI</t>
  </si>
  <si>
    <t>TV</t>
  </si>
  <si>
    <t>IV</t>
  </si>
  <si>
    <t>LTP</t>
  </si>
  <si>
    <t>CHANGE</t>
  </si>
  <si>
    <t>PCHANGE</t>
  </si>
  <si>
    <t>.P COI</t>
  </si>
  <si>
    <t>.TV</t>
  </si>
  <si>
    <t>.IV</t>
  </si>
  <si>
    <t>.LTP</t>
  </si>
  <si>
    <t>.change</t>
  </si>
  <si>
    <t>.pChange</t>
  </si>
  <si>
    <t>strikePrice2</t>
  </si>
  <si>
    <t>strikePrice3</t>
  </si>
  <si>
    <t>OPEN INTREST</t>
  </si>
  <si>
    <t>COPEN INTREST</t>
  </si>
  <si>
    <t>PRICE</t>
  </si>
  <si>
    <t>.OPEN INTREST</t>
  </si>
  <si>
    <t>.COPEN INTREST</t>
  </si>
  <si>
    <t>Name</t>
  </si>
  <si>
    <t>Value</t>
  </si>
  <si>
    <t>market</t>
  </si>
  <si>
    <t>marketStatus</t>
  </si>
  <si>
    <t>tradeDate</t>
  </si>
  <si>
    <t>index</t>
  </si>
  <si>
    <t>last</t>
  </si>
  <si>
    <t>variation</t>
  </si>
  <si>
    <t>percentChange</t>
  </si>
  <si>
    <t>marketStatusMessage</t>
  </si>
  <si>
    <t>Capital Market</t>
  </si>
  <si>
    <t>NIFTY 50</t>
  </si>
  <si>
    <t>26-Aug-2021</t>
  </si>
  <si>
    <t>Closed</t>
  </si>
  <si>
    <t>25-Aug-2021</t>
  </si>
  <si>
    <t>Normal Market has Closed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</si>
</sst>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gradientFill>
        <stop position="0">
          <color theme="0"/>
        </stop>
        <stop position="1">
          <color rgb="FF00B0F0"/>
        </stop>
      </gradientFill>
    </fill>
    <fill>
      <gradientFill>
        <stop position="0">
          <color theme="0"/>
        </stop>
        <stop position="1">
          <color rgb="FF7030A0"/>
        </stop>
      </gradientFill>
    </fill>
    <fill>
      <patternFill patternType="solid">
        <fgColor theme="0"/>
        <bgColor auto="1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2" fontId="0" fillId="2" borderId="0" xfId="0" applyNumberFormat="1" applyFill="1"/>
    <xf numFmtId="0" fontId="0" fillId="2" borderId="0" xfId="0" applyFill="1"/>
    <xf numFmtId="0" fontId="0" fillId="3" borderId="0" xfId="0" applyFill="1"/>
    <xf numFmtId="2" fontId="0" fillId="3" borderId="0" xfId="0" applyNumberFormat="1" applyFill="1"/>
    <xf numFmtId="1" fontId="0" fillId="3" borderId="0" xfId="0" applyNumberFormat="1" applyFill="1"/>
    <xf numFmtId="0" fontId="0" fillId="4" borderId="0" xfId="0" applyFill="1"/>
    <xf numFmtId="2" fontId="0" fillId="4" borderId="0" xfId="0" applyNumberFormat="1" applyFill="1"/>
    <xf numFmtId="1" fontId="0" fillId="5" borderId="0" xfId="0" applyNumberFormat="1" applyFill="1"/>
    <xf numFmtId="0" fontId="0" fillId="6" borderId="0" xfId="0" applyFill="1"/>
    <xf numFmtId="1" fontId="0" fillId="6" borderId="0" xfId="0" applyNumberFormat="1" applyFill="1"/>
    <xf numFmtId="2" fontId="0" fillId="6" borderId="0" xfId="0" applyNumberFormat="1" applyFill="1"/>
    <xf numFmtId="2" fontId="0" fillId="7" borderId="0" xfId="0" applyNumberForma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2" fontId="0" fillId="9" borderId="0" xfId="0" applyNumberFormat="1" applyFill="1"/>
    <xf numFmtId="0" fontId="2" fillId="2" borderId="0" xfId="0" applyFont="1" applyFill="1"/>
    <xf numFmtId="0" fontId="2" fillId="4" borderId="0" xfId="0" applyFont="1" applyFill="1"/>
    <xf numFmtId="0" fontId="0" fillId="10" borderId="0" xfId="0" applyFill="1"/>
  </cellXfs>
  <cellStyles count="1">
    <cellStyle name="Normal" xfId="0" builtinId="0"/>
  </cellStyles>
  <dxfs count="28">
    <dxf>
      <fill>
        <patternFill patternType="solid">
          <fgColor indexed="64"/>
          <bgColor theme="0"/>
        </patternFill>
      </fill>
    </dxf>
    <dxf>
      <fill>
        <gradientFill>
          <stop position="0">
            <color theme="0"/>
          </stop>
          <stop position="1">
            <color rgb="FF00B0F0"/>
          </stop>
        </gradient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gradientFill>
          <stop position="0">
            <color theme="0"/>
          </stop>
          <stop position="1">
            <color rgb="FF7030A0"/>
          </stop>
        </gradient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2" formatCode="0.00"/>
      <fill>
        <gradientFill>
          <stop position="0">
            <color theme="0"/>
          </stop>
          <stop position="1">
            <color rgb="FF00B0F0"/>
          </stop>
        </gradient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gradientFill>
          <stop position="0">
            <color theme="0"/>
          </stop>
          <stop position="1">
            <color rgb="FF7030A0"/>
          </stop>
        </gradient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gradientFill>
          <stop position="0">
            <color theme="0"/>
          </stop>
          <stop position="1">
            <color rgb="FF00B0F0"/>
          </stop>
        </gradient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theme="0"/>
        </patternFill>
      </fill>
    </dxf>
    <dxf>
      <fill>
        <patternFill>
          <fgColor indexed="64"/>
          <bgColor theme="8" tint="-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5C02E30-4B09-4024-AA13-6D5B2368B582}" autoFormatId="16" applyNumberFormats="0" applyBorderFormats="0" applyFontFormats="0" applyPatternFormats="0" applyAlignmentFormats="0" applyWidthHeightFormats="0">
  <queryTableRefresh nextId="87">
    <queryTableFields count="21">
      <queryTableField id="56" name="strikePrice" tableColumnId="2"/>
      <queryTableField id="11" name="Column1.expiryDate" tableColumnId="11"/>
      <queryTableField id="50" dataBound="0" tableColumnId="1"/>
      <queryTableField id="76" name="OPEN INTREST" tableColumnId="22"/>
      <queryTableField id="77" name="COPEN INTREST" tableColumnId="23"/>
      <queryTableField id="59" name="P.COI" tableColumnId="5"/>
      <queryTableField id="60" name="TV" tableColumnId="6"/>
      <queryTableField id="61" name="IV" tableColumnId="7"/>
      <queryTableField id="62" name="LTP" tableColumnId="8"/>
      <queryTableField id="75" dataBound="0" tableColumnId="21"/>
      <queryTableField id="63" name="CHANGE" tableColumnId="9"/>
      <queryTableField id="64" name="PCHANGE" tableColumnId="10"/>
      <queryTableField id="78" name="PRICE" tableColumnId="24"/>
      <queryTableField id="79" name=".OPEN INTREST" tableColumnId="25"/>
      <queryTableField id="80" name=".COPEN INTREST" tableColumnId="26"/>
      <queryTableField id="67" name=".P COI" tableColumnId="15"/>
      <queryTableField id="68" name=".TV" tableColumnId="16"/>
      <queryTableField id="69" name=".IV" tableColumnId="17"/>
      <queryTableField id="70" name=".LTP" tableColumnId="18"/>
      <queryTableField id="71" name=".change" tableColumnId="19"/>
      <queryTableField id="72" name=".pChange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B0E90A7-BEE0-48B7-B59D-F3C33BF7DA30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18E8A8-1CDB-44F4-A1E8-1123CA1F72E9}" name="option_chain_indices_symbol_NIFTY" displayName="option_chain_indices_symbol_NIFTY" ref="A2:U88" tableType="queryTable" totalsRowShown="0" headerRowDxfId="27" dataDxfId="26">
  <autoFilter ref="A2:U88" xr:uid="{F04DD46A-DF39-4CA2-ACDD-EA471D042AF8}"/>
  <sortState xmlns:xlrd2="http://schemas.microsoft.com/office/spreadsheetml/2017/richdata2" ref="A3:U88">
    <sortCondition descending="1" ref="E2:E88"/>
  </sortState>
  <tableColumns count="21">
    <tableColumn id="2" xr3:uid="{72AA1B1E-7FFF-40BF-9898-C3D4CBCAE32D}" uniqueName="2" name="strikePrice" queryTableFieldId="56" dataDxfId="22"/>
    <tableColumn id="11" xr3:uid="{1E8410A6-67B6-4DD6-9541-85E37A857247}" uniqueName="11" name="Column1.expiryDate" queryTableFieldId="11" dataDxfId="21"/>
    <tableColumn id="1" xr3:uid="{F8B83D15-73DF-4226-83C5-AE972272E311}" uniqueName="1" name="strikePrice2" queryTableFieldId="50" dataDxfId="20"/>
    <tableColumn id="22" xr3:uid="{6E929ADF-76A3-47FC-8142-DD946FE5F058}" uniqueName="22" name="OPEN INTREST" queryTableFieldId="76" dataDxfId="19"/>
    <tableColumn id="23" xr3:uid="{47B4B258-1B04-4211-93E7-777B524AAA4C}" uniqueName="23" name="COPEN INTREST" queryTableFieldId="77" dataDxfId="18"/>
    <tableColumn id="5" xr3:uid="{761E3B35-3416-4097-8D1D-749E0B1868B9}" uniqueName="5" name="P.COI" queryTableFieldId="59" dataDxfId="17"/>
    <tableColumn id="6" xr3:uid="{02C9F14F-FE2E-43EC-9B43-2CC82BBD5968}" uniqueName="6" name="TV" queryTableFieldId="60" dataDxfId="16"/>
    <tableColumn id="7" xr3:uid="{894B6AC6-A223-42D2-8CC7-52CE6D54C222}" uniqueName="7" name="IV" queryTableFieldId="61" dataDxfId="15"/>
    <tableColumn id="8" xr3:uid="{150BE540-4DB9-4A84-BDBF-5002C456DDDE}" uniqueName="8" name="LTP" queryTableFieldId="62" dataDxfId="14"/>
    <tableColumn id="21" xr3:uid="{729736BE-8B29-4711-A672-8A0159791722}" uniqueName="21" name="strikePrice3" queryTableFieldId="75" dataDxfId="13"/>
    <tableColumn id="9" xr3:uid="{2DCE768C-1CBD-4F79-A131-2F0B58B33C99}" uniqueName="9" name="CHANGE" queryTableFieldId="63" dataDxfId="12"/>
    <tableColumn id="10" xr3:uid="{2C888D9D-3880-4460-9CD6-2C6CDFDACEA6}" uniqueName="10" name="PCHANGE" queryTableFieldId="64" dataDxfId="11"/>
    <tableColumn id="24" xr3:uid="{975563B4-D7A0-4948-8633-2DE590274396}" uniqueName="24" name="PRICE" queryTableFieldId="78" dataDxfId="10"/>
    <tableColumn id="25" xr3:uid="{0617BFB1-4FFF-4012-B954-B0294BFAFEF9}" uniqueName="25" name=".OPEN INTREST" queryTableFieldId="79" dataDxfId="9"/>
    <tableColumn id="26" xr3:uid="{530DDD6B-040E-4E08-A3DF-E5C8E60E16B0}" uniqueName="26" name=".COPEN INTREST" queryTableFieldId="80" dataDxfId="8"/>
    <tableColumn id="15" xr3:uid="{122D4DDB-A0F8-43B0-A073-AA2B1274FA85}" uniqueName="15" name=".P COI" queryTableFieldId="67" dataDxfId="7"/>
    <tableColumn id="16" xr3:uid="{6AAD7DE1-2DFE-4870-9A88-8276DBBFF3AD}" uniqueName="16" name=".TV" queryTableFieldId="68" dataDxfId="6"/>
    <tableColumn id="17" xr3:uid="{0801FCA0-7AD4-459F-A4D9-A886CBF7C657}" uniqueName="17" name=".IV" queryTableFieldId="69" dataDxfId="5"/>
    <tableColumn id="18" xr3:uid="{E446B5DA-1BCA-4D84-B20B-336B1BD18B60}" uniqueName="18" name=".LTP" queryTableFieldId="70" dataDxfId="4"/>
    <tableColumn id="19" xr3:uid="{0D75DC7B-1791-4EEC-B964-C98C2FCD9F90}" uniqueName="19" name=".change" queryTableFieldId="71" dataDxfId="3"/>
    <tableColumn id="20" xr3:uid="{1FEF6248-4FF7-4525-9426-D5E2C42A468B}" uniqueName="20" name=".pChange" queryTableFieldId="72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D1E912-ABE2-4D8F-9030-77BE84464097}" name="marketStatus" displayName="marketStatus" ref="A1:B9" tableType="queryTable" totalsRowShown="0" headerRowDxfId="25" dataDxfId="24">
  <autoFilter ref="A1:B9" xr:uid="{6A75AD7A-7636-43E2-BC6C-0094AB551A41}"/>
  <tableColumns count="2">
    <tableColumn id="1" xr3:uid="{1D9CA051-056B-4039-BDC9-1F77CED16362}" uniqueName="1" name="Name" queryTableFieldId="1" dataDxfId="1"/>
    <tableColumn id="2" xr3:uid="{C6604453-5B7E-408A-9FA8-3E1AD1E79CF2}" uniqueName="2" name="Value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2926A-EB5A-4344-BE78-268D4346970D}">
  <dimension ref="A1:AQ90"/>
  <sheetViews>
    <sheetView tabSelected="1" topLeftCell="D1" zoomScale="98" zoomScaleNormal="98" workbookViewId="0">
      <selection activeCell="M4" sqref="M4"/>
    </sheetView>
  </sheetViews>
  <sheetFormatPr defaultColWidth="9.109375" defaultRowHeight="14.4" x14ac:dyDescent="0.3"/>
  <cols>
    <col min="1" max="1" width="10.6640625" style="3" hidden="1" customWidth="1"/>
    <col min="2" max="2" width="13" style="3" hidden="1" customWidth="1"/>
    <col min="3" max="3" width="12.109375" style="3" hidden="1" customWidth="1"/>
    <col min="4" max="4" width="15.88671875" style="3" bestFit="1" customWidth="1"/>
    <col min="5" max="5" width="17" style="3" bestFit="1" customWidth="1"/>
    <col min="6" max="6" width="12.88671875" style="15" bestFit="1" customWidth="1"/>
    <col min="7" max="7" width="8.109375" style="3" bestFit="1" customWidth="1"/>
    <col min="8" max="8" width="6.109375" style="3" bestFit="1" customWidth="1"/>
    <col min="9" max="9" width="8.109375" style="3" bestFit="1" customWidth="1"/>
    <col min="10" max="10" width="13.6640625" style="3" hidden="1" customWidth="1"/>
    <col min="11" max="11" width="10.5546875" style="3" bestFit="1" customWidth="1"/>
    <col min="12" max="12" width="12.88671875" style="3" bestFit="1" customWidth="1"/>
    <col min="13" max="13" width="8.21875" style="3" bestFit="1" customWidth="1"/>
    <col min="14" max="14" width="16.44140625" style="3" bestFit="1" customWidth="1"/>
    <col min="15" max="15" width="17.5546875" style="3" bestFit="1" customWidth="1"/>
    <col min="16" max="16" width="8.5546875" style="16" bestFit="1" customWidth="1"/>
    <col min="17" max="17" width="8.109375" style="3" bestFit="1" customWidth="1"/>
    <col min="18" max="18" width="6.109375" style="3" bestFit="1" customWidth="1"/>
    <col min="19" max="19" width="8.109375" style="3" bestFit="1" customWidth="1"/>
    <col min="20" max="20" width="10.109375" style="3" bestFit="1" customWidth="1"/>
    <col min="21" max="21" width="12.88671875" style="3" customWidth="1"/>
    <col min="22" max="22" width="6.109375" style="3" bestFit="1" customWidth="1"/>
    <col min="23" max="24" width="7.109375" style="3" bestFit="1" customWidth="1"/>
    <col min="25" max="25" width="10.109375" style="3" bestFit="1" customWidth="1"/>
    <col min="26" max="26" width="12.88671875" style="3" bestFit="1" customWidth="1"/>
    <col min="27" max="27" width="27.33203125" style="3" bestFit="1" customWidth="1"/>
    <col min="28" max="28" width="35.5546875" style="3" bestFit="1" customWidth="1"/>
    <col min="29" max="29" width="36.88671875" style="16" bestFit="1" customWidth="1"/>
    <col min="30" max="30" width="33.109375" style="3" bestFit="1" customWidth="1"/>
    <col min="31" max="31" width="30.109375" style="3" bestFit="1" customWidth="1"/>
    <col min="32" max="32" width="22.88671875" style="3" bestFit="1" customWidth="1"/>
    <col min="33" max="33" width="21.33203125" style="3" bestFit="1" customWidth="1"/>
    <col min="34" max="34" width="23" style="4" bestFit="1" customWidth="1"/>
    <col min="35" max="35" width="13.33203125" style="5" bestFit="1" customWidth="1"/>
    <col min="36" max="36" width="27.33203125" style="3" bestFit="1" customWidth="1"/>
    <col min="37" max="37" width="35.5546875" style="3" bestFit="1" customWidth="1"/>
    <col min="38" max="38" width="36.88671875" style="16" bestFit="1" customWidth="1"/>
    <col min="39" max="39" width="33.109375" style="3" bestFit="1" customWidth="1"/>
    <col min="40" max="40" width="30.109375" style="3" bestFit="1" customWidth="1"/>
    <col min="41" max="41" width="22.88671875" style="3" bestFit="1" customWidth="1"/>
    <col min="42" max="42" width="21.33203125" style="3" bestFit="1" customWidth="1"/>
    <col min="43" max="43" width="23" style="4" bestFit="1" customWidth="1"/>
    <col min="44" max="44" width="24.33203125" style="3" bestFit="1" customWidth="1"/>
    <col min="45" max="45" width="24.5546875" style="3" bestFit="1" customWidth="1"/>
    <col min="46" max="46" width="24.44140625" style="3" bestFit="1" customWidth="1"/>
    <col min="47" max="47" width="32.44140625" style="3" bestFit="1" customWidth="1"/>
    <col min="48" max="48" width="26.44140625" style="3" bestFit="1" customWidth="1"/>
    <col min="49" max="49" width="35" style="3" bestFit="1" customWidth="1"/>
    <col min="50" max="50" width="36.33203125" style="3" bestFit="1" customWidth="1"/>
    <col min="51" max="51" width="32.44140625" style="3" bestFit="1" customWidth="1"/>
    <col min="52" max="52" width="30" style="3" bestFit="1" customWidth="1"/>
    <col min="53" max="53" width="22.33203125" style="3" bestFit="1" customWidth="1"/>
    <col min="54" max="54" width="21" style="3" bestFit="1" customWidth="1"/>
    <col min="55" max="55" width="22.44140625" style="3" bestFit="1" customWidth="1"/>
    <col min="56" max="57" width="30.109375" style="3" bestFit="1" customWidth="1"/>
    <col min="58" max="58" width="20.6640625" style="3" bestFit="1" customWidth="1"/>
    <col min="59" max="59" width="22" style="3" bestFit="1" customWidth="1"/>
    <col min="60" max="60" width="20.6640625" style="3" bestFit="1" customWidth="1"/>
    <col min="61" max="61" width="22" style="3" bestFit="1" customWidth="1"/>
    <col min="62" max="62" width="29.6640625" style="3" bestFit="1" customWidth="1"/>
    <col min="63" max="63" width="8.5546875" style="3" bestFit="1" customWidth="1"/>
    <col min="64" max="64" width="19.88671875" style="3" bestFit="1" customWidth="1"/>
    <col min="65" max="65" width="12.88671875" style="3" bestFit="1" customWidth="1"/>
    <col min="66" max="66" width="19.33203125" style="3" bestFit="1" customWidth="1"/>
    <col min="67" max="67" width="24.109375" style="3" bestFit="1" customWidth="1"/>
    <col min="68" max="68" width="19.5546875" style="3" bestFit="1" customWidth="1"/>
    <col min="69" max="69" width="16.44140625" style="3" bestFit="1" customWidth="1"/>
    <col min="70" max="70" width="17.44140625" style="3" bestFit="1" customWidth="1"/>
    <col min="71" max="71" width="11.109375" style="3" bestFit="1" customWidth="1"/>
    <col min="72" max="16384" width="9.109375" style="3"/>
  </cols>
  <sheetData>
    <row r="1" spans="1:43" ht="18" x14ac:dyDescent="0.35">
      <c r="D1" s="2"/>
      <c r="E1" s="2"/>
      <c r="F1" s="17" t="s">
        <v>1</v>
      </c>
      <c r="G1" s="2"/>
      <c r="H1" s="2"/>
      <c r="I1" s="2"/>
      <c r="J1" s="2"/>
      <c r="K1" s="2"/>
      <c r="L1" s="2"/>
      <c r="N1" s="6"/>
      <c r="O1" s="6"/>
      <c r="P1" s="6"/>
      <c r="Q1" s="6"/>
      <c r="R1" s="18" t="s">
        <v>2</v>
      </c>
      <c r="S1" s="6"/>
      <c r="T1" s="6"/>
      <c r="U1" s="6"/>
      <c r="AA1" s="2"/>
      <c r="AB1" s="2"/>
      <c r="AC1" s="6"/>
      <c r="AD1" s="2"/>
      <c r="AE1" s="2" t="s">
        <v>1</v>
      </c>
      <c r="AF1" s="2"/>
      <c r="AG1" s="2"/>
      <c r="AH1" s="1"/>
      <c r="AI1" s="8" t="s">
        <v>0</v>
      </c>
      <c r="AJ1" s="6"/>
      <c r="AK1" s="6"/>
      <c r="AL1" s="6"/>
      <c r="AM1" s="6" t="s">
        <v>2</v>
      </c>
      <c r="AN1" s="6"/>
      <c r="AO1" s="6"/>
      <c r="AP1" s="6"/>
      <c r="AQ1" s="7"/>
    </row>
    <row r="2" spans="1:43" s="9" customFormat="1" x14ac:dyDescent="0.3">
      <c r="A2" s="9" t="s">
        <v>0</v>
      </c>
      <c r="B2" s="9" t="s">
        <v>3</v>
      </c>
      <c r="C2" s="10" t="s">
        <v>16</v>
      </c>
      <c r="D2" s="9" t="s">
        <v>18</v>
      </c>
      <c r="E2" s="9" t="s">
        <v>19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17</v>
      </c>
      <c r="K2" s="9" t="s">
        <v>8</v>
      </c>
      <c r="L2" s="9" t="s">
        <v>9</v>
      </c>
      <c r="M2" s="9" t="s">
        <v>20</v>
      </c>
      <c r="N2" s="9" t="s">
        <v>21</v>
      </c>
      <c r="O2" s="9" t="s">
        <v>22</v>
      </c>
      <c r="P2" s="11" t="s">
        <v>10</v>
      </c>
      <c r="Q2" s="9" t="s">
        <v>11</v>
      </c>
      <c r="R2" s="9" t="s">
        <v>12</v>
      </c>
      <c r="S2" s="9" t="s">
        <v>13</v>
      </c>
      <c r="T2" s="9" t="s">
        <v>14</v>
      </c>
      <c r="U2" s="9" t="s">
        <v>15</v>
      </c>
    </row>
    <row r="3" spans="1:43" x14ac:dyDescent="0.3">
      <c r="A3" s="3">
        <v>16800</v>
      </c>
      <c r="B3" s="3" t="s">
        <v>35</v>
      </c>
      <c r="C3" s="5"/>
      <c r="D3" s="3">
        <v>94823</v>
      </c>
      <c r="E3" s="3">
        <v>15860</v>
      </c>
      <c r="F3" s="13">
        <v>20.085356432759649</v>
      </c>
      <c r="G3" s="3">
        <v>713321</v>
      </c>
      <c r="H3" s="3">
        <v>9.76</v>
      </c>
      <c r="I3" s="14">
        <v>4.6500000000000004</v>
      </c>
      <c r="K3" s="3">
        <v>-0.25</v>
      </c>
      <c r="L3" s="3">
        <v>-5.1020408163265296</v>
      </c>
      <c r="M3" s="3">
        <v>16800</v>
      </c>
      <c r="N3" s="3">
        <v>5834</v>
      </c>
      <c r="O3" s="3">
        <v>2141</v>
      </c>
      <c r="P3" s="12">
        <v>57.974546439209313</v>
      </c>
      <c r="Q3" s="3">
        <v>36014</v>
      </c>
      <c r="R3" s="3">
        <v>16.2</v>
      </c>
      <c r="S3" s="14">
        <v>189.05</v>
      </c>
      <c r="T3" s="3">
        <v>-120.59999999999997</v>
      </c>
      <c r="U3" s="3">
        <v>-38.947198449862739</v>
      </c>
      <c r="AC3" s="3"/>
      <c r="AH3" s="3"/>
      <c r="AI3" s="3"/>
      <c r="AL3" s="3"/>
      <c r="AQ3" s="3"/>
    </row>
    <row r="4" spans="1:43" x14ac:dyDescent="0.3">
      <c r="A4" s="3">
        <v>16750</v>
      </c>
      <c r="B4" s="3" t="s">
        <v>35</v>
      </c>
      <c r="C4" s="5"/>
      <c r="D4" s="3">
        <v>49909</v>
      </c>
      <c r="E4" s="3">
        <v>10955</v>
      </c>
      <c r="F4" s="13">
        <v>28.122914206499978</v>
      </c>
      <c r="G4" s="3">
        <v>560672</v>
      </c>
      <c r="H4" s="3">
        <v>9.18</v>
      </c>
      <c r="I4" s="14">
        <v>9</v>
      </c>
      <c r="K4" s="3">
        <v>1.2999999999999998</v>
      </c>
      <c r="L4" s="3">
        <v>16.88311688311688</v>
      </c>
      <c r="M4" s="3">
        <v>16750</v>
      </c>
      <c r="N4" s="3">
        <v>2336</v>
      </c>
      <c r="O4" s="3">
        <v>1775</v>
      </c>
      <c r="P4" s="12">
        <v>316.39928698752226</v>
      </c>
      <c r="Q4" s="3">
        <v>24535</v>
      </c>
      <c r="R4" s="3">
        <v>13.72</v>
      </c>
      <c r="S4" s="14">
        <v>141</v>
      </c>
      <c r="T4" s="3">
        <v>-123.3</v>
      </c>
      <c r="U4" s="3">
        <v>-46.651532349602725</v>
      </c>
      <c r="AC4" s="3"/>
      <c r="AH4" s="3"/>
      <c r="AI4" s="3"/>
      <c r="AL4" s="3"/>
      <c r="AQ4" s="3"/>
    </row>
    <row r="5" spans="1:43" x14ac:dyDescent="0.3">
      <c r="A5" s="3">
        <v>16850</v>
      </c>
      <c r="B5" s="3" t="s">
        <v>35</v>
      </c>
      <c r="C5" s="5"/>
      <c r="D5" s="3">
        <v>30382</v>
      </c>
      <c r="E5" s="3">
        <v>7431</v>
      </c>
      <c r="F5" s="13">
        <v>32.377674175417191</v>
      </c>
      <c r="G5" s="3">
        <v>243860</v>
      </c>
      <c r="H5" s="3">
        <v>11.4</v>
      </c>
      <c r="I5" s="14">
        <v>3.85</v>
      </c>
      <c r="K5" s="3">
        <v>0.35000000000000009</v>
      </c>
      <c r="L5" s="3">
        <v>10.000000000000002</v>
      </c>
      <c r="M5" s="3">
        <v>16850</v>
      </c>
      <c r="N5" s="3">
        <v>357</v>
      </c>
      <c r="O5" s="3">
        <v>101</v>
      </c>
      <c r="P5" s="12">
        <v>39.453125</v>
      </c>
      <c r="Q5" s="3">
        <v>725</v>
      </c>
      <c r="R5" s="3">
        <v>18.239999999999998</v>
      </c>
      <c r="S5" s="14">
        <v>236.6</v>
      </c>
      <c r="T5" s="3">
        <v>-125.04999999999998</v>
      </c>
      <c r="U5" s="3">
        <v>-34.577630305544034</v>
      </c>
      <c r="AC5" s="3"/>
      <c r="AH5" s="3"/>
      <c r="AI5" s="3"/>
      <c r="AL5" s="3"/>
      <c r="AQ5" s="3"/>
    </row>
    <row r="6" spans="1:43" x14ac:dyDescent="0.3">
      <c r="A6" s="3">
        <v>16900</v>
      </c>
      <c r="B6" s="3" t="s">
        <v>35</v>
      </c>
      <c r="C6" s="5"/>
      <c r="D6" s="3">
        <v>70276</v>
      </c>
      <c r="E6" s="3">
        <v>6776</v>
      </c>
      <c r="F6" s="13">
        <v>10.670866141732285</v>
      </c>
      <c r="G6" s="3">
        <v>417271</v>
      </c>
      <c r="H6" s="3">
        <v>12.3</v>
      </c>
      <c r="I6" s="14">
        <v>2.5</v>
      </c>
      <c r="K6" s="3">
        <v>-0.29999999999999982</v>
      </c>
      <c r="L6" s="3">
        <v>-10.714285714285708</v>
      </c>
      <c r="M6" s="3">
        <v>16900</v>
      </c>
      <c r="N6" s="3">
        <v>4789</v>
      </c>
      <c r="O6" s="3">
        <v>-2994</v>
      </c>
      <c r="P6" s="12">
        <v>-38.468456893228833</v>
      </c>
      <c r="Q6" s="3">
        <v>6475</v>
      </c>
      <c r="R6" s="3">
        <v>21.11</v>
      </c>
      <c r="S6" s="14">
        <v>287.3</v>
      </c>
      <c r="T6" s="3">
        <v>-125.14999999999998</v>
      </c>
      <c r="U6" s="3">
        <v>-30.343071887501509</v>
      </c>
      <c r="AC6" s="3"/>
      <c r="AH6" s="3"/>
      <c r="AI6" s="3"/>
      <c r="AL6" s="3"/>
      <c r="AQ6" s="3"/>
    </row>
    <row r="7" spans="1:43" x14ac:dyDescent="0.3">
      <c r="A7" s="3">
        <v>16650</v>
      </c>
      <c r="B7" s="3" t="s">
        <v>35</v>
      </c>
      <c r="C7" s="5"/>
      <c r="D7" s="3">
        <v>44291</v>
      </c>
      <c r="E7" s="3">
        <v>6067</v>
      </c>
      <c r="F7" s="13">
        <v>15.872226873168691</v>
      </c>
      <c r="G7" s="3">
        <v>830482</v>
      </c>
      <c r="H7" s="3">
        <v>9.26</v>
      </c>
      <c r="I7" s="14">
        <v>37.799999999999997</v>
      </c>
      <c r="K7" s="3">
        <v>16.399999999999999</v>
      </c>
      <c r="L7" s="3">
        <v>76.63551401869158</v>
      </c>
      <c r="M7" s="3">
        <v>16650</v>
      </c>
      <c r="N7" s="3">
        <v>15931</v>
      </c>
      <c r="O7" s="3">
        <v>12655</v>
      </c>
      <c r="P7" s="12">
        <v>386.29426129426128</v>
      </c>
      <c r="Q7" s="3">
        <v>222738</v>
      </c>
      <c r="R7" s="3">
        <v>12.65</v>
      </c>
      <c r="S7" s="14">
        <v>70.599999999999994</v>
      </c>
      <c r="T7" s="3">
        <v>-104.4</v>
      </c>
      <c r="U7" s="3">
        <v>-59.657142857142865</v>
      </c>
      <c r="AC7" s="3"/>
      <c r="AH7" s="3"/>
      <c r="AI7" s="3"/>
      <c r="AL7" s="3"/>
      <c r="AQ7" s="3"/>
    </row>
    <row r="8" spans="1:43" x14ac:dyDescent="0.3">
      <c r="A8" s="3">
        <v>16950</v>
      </c>
      <c r="B8" s="3" t="s">
        <v>35</v>
      </c>
      <c r="C8" s="5"/>
      <c r="D8" s="3">
        <v>16002</v>
      </c>
      <c r="E8" s="3">
        <v>2632</v>
      </c>
      <c r="F8" s="13">
        <v>19.68586387434555</v>
      </c>
      <c r="G8" s="3">
        <v>82256</v>
      </c>
      <c r="H8" s="3">
        <v>13.34</v>
      </c>
      <c r="I8" s="14">
        <v>1.8</v>
      </c>
      <c r="K8" s="3">
        <v>-0.49999999999999978</v>
      </c>
      <c r="L8" s="3">
        <v>-21.739130434782599</v>
      </c>
      <c r="M8" s="3">
        <v>16950</v>
      </c>
      <c r="N8" s="3">
        <v>82</v>
      </c>
      <c r="O8" s="3">
        <v>-9</v>
      </c>
      <c r="P8" s="12">
        <v>-9.8901098901098905</v>
      </c>
      <c r="Q8" s="3">
        <v>87</v>
      </c>
      <c r="R8" s="3">
        <v>24.36</v>
      </c>
      <c r="S8" s="14">
        <v>339.25</v>
      </c>
      <c r="T8" s="3">
        <v>-116.3</v>
      </c>
      <c r="U8" s="3">
        <v>-25.529579629019867</v>
      </c>
      <c r="AC8" s="3"/>
      <c r="AH8" s="3"/>
      <c r="AI8" s="3"/>
      <c r="AL8" s="3"/>
      <c r="AQ8" s="3"/>
    </row>
    <row r="9" spans="1:43" x14ac:dyDescent="0.3">
      <c r="A9" s="3">
        <v>17000</v>
      </c>
      <c r="B9" s="3" t="s">
        <v>35</v>
      </c>
      <c r="C9" s="5"/>
      <c r="D9" s="3">
        <v>93787</v>
      </c>
      <c r="E9" s="3">
        <v>2136</v>
      </c>
      <c r="F9" s="13">
        <v>2.3305801355140696</v>
      </c>
      <c r="G9" s="3">
        <v>311981</v>
      </c>
      <c r="H9" s="3">
        <v>14.99</v>
      </c>
      <c r="I9" s="14">
        <v>1.75</v>
      </c>
      <c r="K9" s="3">
        <v>-0.45000000000000018</v>
      </c>
      <c r="L9" s="3">
        <v>-20.45454545454546</v>
      </c>
      <c r="M9" s="3">
        <v>17000</v>
      </c>
      <c r="N9" s="3">
        <v>6502</v>
      </c>
      <c r="O9" s="3">
        <v>-1479</v>
      </c>
      <c r="P9" s="12">
        <v>-18.531512341811801</v>
      </c>
      <c r="Q9" s="3">
        <v>4141</v>
      </c>
      <c r="R9" s="3">
        <v>26.54</v>
      </c>
      <c r="S9" s="14">
        <v>388.35</v>
      </c>
      <c r="T9" s="3">
        <v>-122.84999999999997</v>
      </c>
      <c r="U9" s="3">
        <v>-24.031690140845065</v>
      </c>
      <c r="AC9" s="3"/>
      <c r="AH9" s="3"/>
      <c r="AI9" s="3"/>
      <c r="AL9" s="3"/>
      <c r="AQ9" s="3"/>
    </row>
    <row r="10" spans="1:43" x14ac:dyDescent="0.3">
      <c r="A10" s="3">
        <v>17050</v>
      </c>
      <c r="B10" s="3" t="s">
        <v>35</v>
      </c>
      <c r="C10" s="5"/>
      <c r="D10" s="3">
        <v>8219</v>
      </c>
      <c r="E10" s="3">
        <v>508</v>
      </c>
      <c r="F10" s="13">
        <v>6.5879911814291274</v>
      </c>
      <c r="G10" s="3">
        <v>27359</v>
      </c>
      <c r="H10" s="3">
        <v>16.36</v>
      </c>
      <c r="I10" s="14">
        <v>1.55</v>
      </c>
      <c r="K10" s="3">
        <v>-0.30000000000000004</v>
      </c>
      <c r="L10" s="3">
        <v>-16.216216216216218</v>
      </c>
      <c r="M10" s="3">
        <v>17050</v>
      </c>
      <c r="N10" s="3">
        <v>67</v>
      </c>
      <c r="O10" s="3">
        <v>-3</v>
      </c>
      <c r="P10" s="12">
        <v>-4.2857142857142856</v>
      </c>
      <c r="Q10" s="3">
        <v>8</v>
      </c>
      <c r="R10" s="3">
        <v>25.74</v>
      </c>
      <c r="S10" s="14">
        <v>430.75</v>
      </c>
      <c r="T10" s="3">
        <v>-131.35000000000002</v>
      </c>
      <c r="U10" s="3">
        <v>-23.367728162248714</v>
      </c>
      <c r="AC10" s="3"/>
      <c r="AH10" s="3"/>
      <c r="AI10" s="3"/>
      <c r="AL10" s="3"/>
      <c r="AQ10" s="3"/>
    </row>
    <row r="11" spans="1:43" x14ac:dyDescent="0.3">
      <c r="A11" s="3">
        <v>17850</v>
      </c>
      <c r="B11" s="3" t="s">
        <v>35</v>
      </c>
      <c r="C11" s="5"/>
      <c r="D11" s="3">
        <v>349</v>
      </c>
      <c r="E11" s="3">
        <v>117</v>
      </c>
      <c r="F11" s="13">
        <v>50.431034482758619</v>
      </c>
      <c r="G11" s="3">
        <v>8458</v>
      </c>
      <c r="H11" s="3">
        <v>33.74</v>
      </c>
      <c r="I11" s="14">
        <v>0.3</v>
      </c>
      <c r="K11" s="3">
        <v>-0.5</v>
      </c>
      <c r="L11" s="3">
        <v>-62.5</v>
      </c>
      <c r="M11" s="3">
        <v>17850</v>
      </c>
      <c r="N11" s="3">
        <v>11</v>
      </c>
      <c r="O11" s="3">
        <v>0</v>
      </c>
      <c r="P11" s="12">
        <v>0</v>
      </c>
      <c r="Q11" s="3">
        <v>11</v>
      </c>
      <c r="R11" s="3">
        <v>38.15</v>
      </c>
      <c r="S11" s="14">
        <v>1216.5999999999999</v>
      </c>
      <c r="T11" s="3">
        <v>-140.70000000000005</v>
      </c>
      <c r="U11" s="3">
        <v>-10.366168127900984</v>
      </c>
      <c r="AC11" s="3"/>
      <c r="AH11" s="3"/>
      <c r="AI11" s="3"/>
      <c r="AL11" s="3"/>
      <c r="AQ11" s="3"/>
    </row>
    <row r="12" spans="1:43" x14ac:dyDescent="0.3">
      <c r="A12" s="3">
        <v>17550</v>
      </c>
      <c r="B12" s="3" t="s">
        <v>35</v>
      </c>
      <c r="C12" s="5"/>
      <c r="D12" s="3">
        <v>233</v>
      </c>
      <c r="E12" s="3">
        <v>107</v>
      </c>
      <c r="F12" s="13">
        <v>84.920634920634924</v>
      </c>
      <c r="G12" s="3">
        <v>5117</v>
      </c>
      <c r="H12" s="3">
        <v>28.06</v>
      </c>
      <c r="I12" s="14">
        <v>0.55000000000000004</v>
      </c>
      <c r="K12" s="3">
        <v>-0.7</v>
      </c>
      <c r="L12" s="3">
        <v>-55.999999999999993</v>
      </c>
      <c r="M12" s="3">
        <v>17550</v>
      </c>
      <c r="N12" s="3">
        <v>5</v>
      </c>
      <c r="O12" s="3">
        <v>0</v>
      </c>
      <c r="P12" s="12">
        <v>0</v>
      </c>
      <c r="Q12" s="3">
        <v>0</v>
      </c>
      <c r="R12" s="3">
        <v>0</v>
      </c>
      <c r="S12" s="14">
        <v>1057.7</v>
      </c>
      <c r="T12" s="3">
        <v>0.65000000000009095</v>
      </c>
      <c r="U12" s="3">
        <v>6.1491887800964103E-2</v>
      </c>
      <c r="AC12" s="3"/>
      <c r="AH12" s="3"/>
      <c r="AI12" s="3"/>
      <c r="AL12" s="3"/>
      <c r="AQ12" s="3"/>
    </row>
    <row r="13" spans="1:43" x14ac:dyDescent="0.3">
      <c r="A13" s="3">
        <v>18100</v>
      </c>
      <c r="B13" s="3" t="s">
        <v>35</v>
      </c>
      <c r="C13" s="5">
        <v>8800</v>
      </c>
      <c r="D13" s="3">
        <v>2205</v>
      </c>
      <c r="E13" s="3">
        <v>101</v>
      </c>
      <c r="F13" s="13">
        <v>4.8003802281368824</v>
      </c>
      <c r="G13" s="3">
        <v>3566</v>
      </c>
      <c r="H13" s="3">
        <v>42.45</v>
      </c>
      <c r="I13" s="14">
        <v>0.6</v>
      </c>
      <c r="J13" s="3">
        <v>8650</v>
      </c>
      <c r="K13" s="3">
        <v>-5.0000000000000051E-2</v>
      </c>
      <c r="L13" s="3">
        <v>-7.6923076923076987</v>
      </c>
      <c r="M13" s="3">
        <v>18100</v>
      </c>
      <c r="N13" s="3">
        <v>1</v>
      </c>
      <c r="O13" s="3">
        <v>0</v>
      </c>
      <c r="P13" s="12">
        <v>0</v>
      </c>
      <c r="Q13" s="3">
        <v>1</v>
      </c>
      <c r="R13" s="3">
        <v>76.319999999999993</v>
      </c>
      <c r="S13" s="14">
        <v>1494.5</v>
      </c>
      <c r="T13" s="3">
        <v>-152.29999999999995</v>
      </c>
      <c r="U13" s="3">
        <v>-9.2482390089871238</v>
      </c>
      <c r="AC13" s="3"/>
      <c r="AH13" s="3"/>
      <c r="AI13" s="3"/>
      <c r="AL13" s="3"/>
      <c r="AQ13" s="3"/>
    </row>
    <row r="14" spans="1:43" x14ac:dyDescent="0.3">
      <c r="A14" s="3">
        <v>14500</v>
      </c>
      <c r="B14" s="3" t="s">
        <v>35</v>
      </c>
      <c r="C14" s="5">
        <v>10250</v>
      </c>
      <c r="D14" s="3">
        <v>5493</v>
      </c>
      <c r="E14" s="3">
        <v>80</v>
      </c>
      <c r="F14" s="13">
        <v>1.4779235174579717</v>
      </c>
      <c r="G14" s="3">
        <v>1288</v>
      </c>
      <c r="H14" s="3">
        <v>0</v>
      </c>
      <c r="I14" s="14">
        <v>2112.4499999999998</v>
      </c>
      <c r="J14" s="3">
        <v>9100</v>
      </c>
      <c r="K14" s="3">
        <v>114.04999999999971</v>
      </c>
      <c r="L14" s="3">
        <v>5.7070656525220036</v>
      </c>
      <c r="M14" s="3">
        <v>14500</v>
      </c>
      <c r="N14" s="3">
        <v>24651</v>
      </c>
      <c r="O14" s="3">
        <v>802</v>
      </c>
      <c r="P14" s="12">
        <v>3.362824437083316</v>
      </c>
      <c r="Q14" s="3">
        <v>35455</v>
      </c>
      <c r="R14" s="3">
        <v>67.94</v>
      </c>
      <c r="S14" s="14">
        <v>0.75</v>
      </c>
      <c r="T14" s="3">
        <v>-0.35000000000000009</v>
      </c>
      <c r="U14" s="3">
        <v>-31.818181818181824</v>
      </c>
      <c r="AC14" s="3"/>
      <c r="AH14" s="3"/>
      <c r="AI14" s="3"/>
      <c r="AL14" s="3"/>
      <c r="AQ14" s="3"/>
    </row>
    <row r="15" spans="1:43" x14ac:dyDescent="0.3">
      <c r="A15" s="3">
        <v>17900</v>
      </c>
      <c r="B15" s="3" t="s">
        <v>35</v>
      </c>
      <c r="C15" s="5"/>
      <c r="D15" s="3">
        <v>2412</v>
      </c>
      <c r="E15" s="3">
        <v>80</v>
      </c>
      <c r="F15" s="13">
        <v>3.4305317324185247</v>
      </c>
      <c r="G15" s="3">
        <v>4853</v>
      </c>
      <c r="H15" s="3">
        <v>35.92</v>
      </c>
      <c r="I15" s="14">
        <v>0.4</v>
      </c>
      <c r="K15" s="3">
        <v>-0.35</v>
      </c>
      <c r="L15" s="3">
        <v>-46.666666666666664</v>
      </c>
      <c r="M15" s="3">
        <v>17900</v>
      </c>
      <c r="N15" s="3">
        <v>0</v>
      </c>
      <c r="O15" s="3">
        <v>0</v>
      </c>
      <c r="P15" s="12">
        <v>0</v>
      </c>
      <c r="Q15" s="3">
        <v>0</v>
      </c>
      <c r="R15" s="3">
        <v>0</v>
      </c>
      <c r="S15" s="14">
        <v>0</v>
      </c>
      <c r="T15" s="3">
        <v>0</v>
      </c>
      <c r="U15" s="3">
        <v>0</v>
      </c>
      <c r="AC15" s="3"/>
      <c r="AH15" s="3"/>
      <c r="AI15" s="3"/>
      <c r="AL15" s="3"/>
      <c r="AQ15" s="3"/>
    </row>
    <row r="16" spans="1:43" x14ac:dyDescent="0.3">
      <c r="A16" s="3">
        <v>15000</v>
      </c>
      <c r="B16" s="3" t="s">
        <v>35</v>
      </c>
      <c r="C16" s="5">
        <v>11300</v>
      </c>
      <c r="D16" s="3">
        <v>4847</v>
      </c>
      <c r="E16" s="3">
        <v>71</v>
      </c>
      <c r="F16" s="13">
        <v>1.4865996649916249</v>
      </c>
      <c r="G16" s="3">
        <v>1058</v>
      </c>
      <c r="H16" s="3">
        <v>0</v>
      </c>
      <c r="I16" s="14">
        <v>1610.55</v>
      </c>
      <c r="J16" s="3">
        <v>10050</v>
      </c>
      <c r="K16" s="3">
        <v>119.59999999999992</v>
      </c>
      <c r="L16" s="3">
        <v>8.0217311110365817</v>
      </c>
      <c r="M16" s="3">
        <v>15000</v>
      </c>
      <c r="N16" s="3">
        <v>73239</v>
      </c>
      <c r="O16" s="3">
        <v>-2669</v>
      </c>
      <c r="P16" s="12">
        <v>-3.5160984349475681</v>
      </c>
      <c r="Q16" s="3">
        <v>52224</v>
      </c>
      <c r="R16" s="3">
        <v>55.83</v>
      </c>
      <c r="S16" s="14">
        <v>1.3</v>
      </c>
      <c r="T16" s="3">
        <v>-0.19999999999999996</v>
      </c>
      <c r="U16" s="3">
        <v>-13.33333333333333</v>
      </c>
      <c r="AC16" s="3"/>
      <c r="AH16" s="3"/>
      <c r="AI16" s="3"/>
      <c r="AL16" s="3"/>
      <c r="AQ16" s="3"/>
    </row>
    <row r="17" spans="1:43" x14ac:dyDescent="0.3">
      <c r="A17" s="3">
        <v>17650</v>
      </c>
      <c r="B17" s="3" t="s">
        <v>35</v>
      </c>
      <c r="C17" s="5"/>
      <c r="D17" s="3">
        <v>184</v>
      </c>
      <c r="E17" s="3">
        <v>57</v>
      </c>
      <c r="F17" s="13">
        <v>44.881889763779526</v>
      </c>
      <c r="G17" s="3">
        <v>10538</v>
      </c>
      <c r="H17" s="3">
        <v>31.98</v>
      </c>
      <c r="I17" s="14">
        <v>0.8</v>
      </c>
      <c r="K17" s="3">
        <v>-0.25</v>
      </c>
      <c r="L17" s="3">
        <v>-23.809523809523807</v>
      </c>
      <c r="M17" s="3">
        <v>17650</v>
      </c>
      <c r="N17" s="3">
        <v>0</v>
      </c>
      <c r="O17" s="3">
        <v>0</v>
      </c>
      <c r="P17" s="12">
        <v>0</v>
      </c>
      <c r="Q17" s="3">
        <v>0</v>
      </c>
      <c r="R17" s="3">
        <v>0</v>
      </c>
      <c r="S17" s="14">
        <v>1074.1500000000001</v>
      </c>
      <c r="T17" s="3">
        <v>0</v>
      </c>
      <c r="U17" s="3">
        <v>0</v>
      </c>
      <c r="AC17" s="3"/>
      <c r="AH17" s="3"/>
      <c r="AI17" s="3"/>
      <c r="AL17" s="3"/>
      <c r="AQ17" s="3"/>
    </row>
    <row r="18" spans="1:43" x14ac:dyDescent="0.3">
      <c r="A18" s="3">
        <v>18050</v>
      </c>
      <c r="B18" s="3" t="s">
        <v>35</v>
      </c>
      <c r="C18" s="5"/>
      <c r="D18" s="3">
        <v>250</v>
      </c>
      <c r="E18" s="3">
        <v>1</v>
      </c>
      <c r="F18" s="13">
        <v>0.40160642570281119</v>
      </c>
      <c r="G18" s="3">
        <v>4751</v>
      </c>
      <c r="H18" s="3">
        <v>39.07</v>
      </c>
      <c r="I18" s="14">
        <v>0.35</v>
      </c>
      <c r="K18" s="3">
        <v>-0.30000000000000004</v>
      </c>
      <c r="L18" s="3">
        <v>-46.153846153846153</v>
      </c>
      <c r="M18" s="3">
        <v>18050</v>
      </c>
      <c r="N18" s="3">
        <v>2</v>
      </c>
      <c r="O18" s="3">
        <v>0</v>
      </c>
      <c r="P18" s="12">
        <v>0</v>
      </c>
      <c r="Q18" s="3">
        <v>0</v>
      </c>
      <c r="R18" s="3">
        <v>0</v>
      </c>
      <c r="S18" s="14">
        <v>1441.9</v>
      </c>
      <c r="T18" s="3">
        <v>1.4000000000000909</v>
      </c>
      <c r="U18" s="3">
        <v>9.7188476223539794E-2</v>
      </c>
      <c r="AC18" s="3"/>
      <c r="AH18" s="3"/>
      <c r="AI18" s="3"/>
      <c r="AL18" s="3"/>
      <c r="AQ18" s="3"/>
    </row>
    <row r="19" spans="1:43" x14ac:dyDescent="0.3">
      <c r="A19" s="3">
        <v>14550</v>
      </c>
      <c r="B19" s="3" t="s">
        <v>35</v>
      </c>
      <c r="C19" s="5">
        <v>9450</v>
      </c>
      <c r="D19" s="3">
        <v>2</v>
      </c>
      <c r="E19" s="3">
        <v>1</v>
      </c>
      <c r="F19" s="13">
        <v>100</v>
      </c>
      <c r="G19" s="3">
        <v>2</v>
      </c>
      <c r="H19" s="3">
        <v>0</v>
      </c>
      <c r="I19" s="14">
        <v>2052.75</v>
      </c>
      <c r="J19" s="3">
        <v>10850</v>
      </c>
      <c r="K19" s="3">
        <v>297.79999999999995</v>
      </c>
      <c r="L19" s="3">
        <v>16.969144420068947</v>
      </c>
      <c r="M19" s="3">
        <v>14550</v>
      </c>
      <c r="N19" s="3">
        <v>47</v>
      </c>
      <c r="O19" s="3">
        <v>-3</v>
      </c>
      <c r="P19" s="12">
        <v>-6</v>
      </c>
      <c r="Q19" s="3">
        <v>322</v>
      </c>
      <c r="R19" s="3">
        <v>65.94</v>
      </c>
      <c r="S19" s="14">
        <v>0.7</v>
      </c>
      <c r="T19" s="3">
        <v>-0.25</v>
      </c>
      <c r="U19" s="3">
        <v>-26.315789473684209</v>
      </c>
      <c r="AC19" s="3"/>
      <c r="AH19" s="3"/>
      <c r="AI19" s="3"/>
      <c r="AL19" s="3"/>
      <c r="AQ19" s="3"/>
    </row>
    <row r="20" spans="1:43" x14ac:dyDescent="0.3">
      <c r="A20" s="3">
        <v>15100</v>
      </c>
      <c r="B20" s="3" t="s">
        <v>35</v>
      </c>
      <c r="C20" s="5"/>
      <c r="D20" s="3">
        <v>232</v>
      </c>
      <c r="E20" s="3">
        <v>0</v>
      </c>
      <c r="F20" s="13">
        <v>0</v>
      </c>
      <c r="G20" s="3">
        <v>5</v>
      </c>
      <c r="H20" s="3">
        <v>0</v>
      </c>
      <c r="I20" s="14">
        <v>1433</v>
      </c>
      <c r="K20" s="3">
        <v>39.200000000000045</v>
      </c>
      <c r="L20" s="3">
        <v>2.8124551585593376</v>
      </c>
      <c r="M20" s="3">
        <v>15100</v>
      </c>
      <c r="N20" s="3">
        <v>4992</v>
      </c>
      <c r="O20" s="3">
        <v>-261</v>
      </c>
      <c r="P20" s="12">
        <v>-4.9685893774985725</v>
      </c>
      <c r="Q20" s="3">
        <v>6987</v>
      </c>
      <c r="R20" s="3">
        <v>53.92</v>
      </c>
      <c r="S20" s="14">
        <v>1.6</v>
      </c>
      <c r="T20" s="3">
        <v>5.0000000000000051E-2</v>
      </c>
      <c r="U20" s="3">
        <v>3.2258064516129057</v>
      </c>
      <c r="AC20" s="3"/>
      <c r="AH20" s="3"/>
      <c r="AI20" s="3"/>
      <c r="AL20" s="3"/>
      <c r="AQ20" s="3"/>
    </row>
    <row r="21" spans="1:43" x14ac:dyDescent="0.3">
      <c r="A21" s="3">
        <v>15250</v>
      </c>
      <c r="B21" s="3" t="s">
        <v>35</v>
      </c>
      <c r="C21" s="5">
        <v>8000</v>
      </c>
      <c r="D21" s="3">
        <v>54</v>
      </c>
      <c r="E21" s="3">
        <v>0</v>
      </c>
      <c r="F21" s="13">
        <v>0</v>
      </c>
      <c r="G21" s="3">
        <v>0</v>
      </c>
      <c r="H21" s="3">
        <v>0</v>
      </c>
      <c r="I21" s="14">
        <v>1245.1500000000001</v>
      </c>
      <c r="J21" s="3">
        <v>8950</v>
      </c>
      <c r="K21" s="3">
        <v>0</v>
      </c>
      <c r="L21" s="3">
        <v>0</v>
      </c>
      <c r="M21" s="3">
        <v>15250</v>
      </c>
      <c r="N21" s="3">
        <v>841</v>
      </c>
      <c r="O21" s="3">
        <v>-69</v>
      </c>
      <c r="P21" s="12">
        <v>-7.5824175824175821</v>
      </c>
      <c r="Q21" s="3">
        <v>609</v>
      </c>
      <c r="R21" s="3">
        <v>47.13</v>
      </c>
      <c r="S21" s="14">
        <v>1.1499999999999999</v>
      </c>
      <c r="T21" s="3">
        <v>-0.45000000000000018</v>
      </c>
      <c r="U21" s="3">
        <v>-28.125000000000011</v>
      </c>
      <c r="AC21" s="3"/>
      <c r="AH21" s="3"/>
      <c r="AI21" s="3"/>
      <c r="AL21" s="3"/>
      <c r="AQ21" s="3"/>
    </row>
    <row r="22" spans="1:43" x14ac:dyDescent="0.3">
      <c r="A22" s="3">
        <v>15350</v>
      </c>
      <c r="B22" s="3" t="s">
        <v>35</v>
      </c>
      <c r="C22" s="5"/>
      <c r="D22" s="3">
        <v>51</v>
      </c>
      <c r="E22" s="3">
        <v>0</v>
      </c>
      <c r="F22" s="13">
        <v>0</v>
      </c>
      <c r="G22" s="3">
        <v>1</v>
      </c>
      <c r="H22" s="3">
        <v>0</v>
      </c>
      <c r="I22" s="14">
        <v>1224</v>
      </c>
      <c r="K22" s="3">
        <v>82.900000000000091</v>
      </c>
      <c r="L22" s="3">
        <v>7.2649198142143634</v>
      </c>
      <c r="M22" s="3">
        <v>15350</v>
      </c>
      <c r="N22" s="3">
        <v>4153</v>
      </c>
      <c r="O22" s="3">
        <v>-1674</v>
      </c>
      <c r="P22" s="12">
        <v>-28.72833361935816</v>
      </c>
      <c r="Q22" s="3">
        <v>4348</v>
      </c>
      <c r="R22" s="3">
        <v>45</v>
      </c>
      <c r="S22" s="14">
        <v>1.4</v>
      </c>
      <c r="T22" s="3">
        <v>-0.45000000000000018</v>
      </c>
      <c r="U22" s="3">
        <v>-24.324324324324333</v>
      </c>
      <c r="AC22" s="3"/>
      <c r="AH22" s="3"/>
      <c r="AI22" s="3"/>
      <c r="AL22" s="3"/>
      <c r="AQ22" s="3"/>
    </row>
    <row r="23" spans="1:43" x14ac:dyDescent="0.3">
      <c r="A23" s="3">
        <v>15050</v>
      </c>
      <c r="B23" s="3" t="s">
        <v>35</v>
      </c>
      <c r="C23" s="5"/>
      <c r="D23" s="3">
        <v>23</v>
      </c>
      <c r="E23" s="3">
        <v>0</v>
      </c>
      <c r="F23" s="13">
        <v>0</v>
      </c>
      <c r="G23" s="3">
        <v>0</v>
      </c>
      <c r="H23" s="3">
        <v>0</v>
      </c>
      <c r="I23" s="14">
        <v>1213.75</v>
      </c>
      <c r="K23" s="3">
        <v>0</v>
      </c>
      <c r="L23" s="3">
        <v>0</v>
      </c>
      <c r="M23" s="3">
        <v>15050</v>
      </c>
      <c r="N23" s="3">
        <v>600</v>
      </c>
      <c r="O23" s="3">
        <v>-16</v>
      </c>
      <c r="P23" s="12">
        <v>-2.5974025974025974</v>
      </c>
      <c r="Q23" s="3">
        <v>169</v>
      </c>
      <c r="R23" s="3">
        <v>55.13</v>
      </c>
      <c r="S23" s="14">
        <v>1.5</v>
      </c>
      <c r="T23" s="3">
        <v>0.10000000000000007</v>
      </c>
      <c r="U23" s="3">
        <v>7.1428571428571495</v>
      </c>
      <c r="AC23" s="3"/>
      <c r="AH23" s="3"/>
      <c r="AI23" s="3"/>
      <c r="AL23" s="3"/>
      <c r="AQ23" s="3"/>
    </row>
    <row r="24" spans="1:43" x14ac:dyDescent="0.3">
      <c r="A24" s="3">
        <v>15150</v>
      </c>
      <c r="B24" s="3" t="s">
        <v>35</v>
      </c>
      <c r="C24" s="5"/>
      <c r="D24" s="3">
        <v>15</v>
      </c>
      <c r="E24" s="3">
        <v>0</v>
      </c>
      <c r="F24" s="13">
        <v>0</v>
      </c>
      <c r="G24" s="3">
        <v>0</v>
      </c>
      <c r="H24" s="3">
        <v>0</v>
      </c>
      <c r="I24" s="14">
        <v>1354.05</v>
      </c>
      <c r="K24" s="3">
        <v>0</v>
      </c>
      <c r="L24" s="3">
        <v>0</v>
      </c>
      <c r="M24" s="3">
        <v>15150</v>
      </c>
      <c r="N24" s="3">
        <v>154</v>
      </c>
      <c r="O24" s="3">
        <v>-56</v>
      </c>
      <c r="P24" s="12">
        <v>-26.666666666666668</v>
      </c>
      <c r="Q24" s="3">
        <v>880</v>
      </c>
      <c r="R24" s="3">
        <v>51.67</v>
      </c>
      <c r="S24" s="14">
        <v>1.45</v>
      </c>
      <c r="T24" s="3">
        <v>-5.0000000000000051E-2</v>
      </c>
      <c r="U24" s="3">
        <v>-3.3333333333333361</v>
      </c>
      <c r="AC24" s="3"/>
      <c r="AH24" s="3"/>
      <c r="AI24" s="3"/>
      <c r="AL24" s="3"/>
      <c r="AQ24" s="3"/>
    </row>
    <row r="25" spans="1:43" x14ac:dyDescent="0.3">
      <c r="A25" s="3">
        <v>14950</v>
      </c>
      <c r="B25" s="3" t="s">
        <v>35</v>
      </c>
      <c r="C25" s="5"/>
      <c r="D25" s="3">
        <v>6</v>
      </c>
      <c r="E25" s="3">
        <v>0</v>
      </c>
      <c r="F25" s="13">
        <v>0</v>
      </c>
      <c r="G25" s="3">
        <v>0</v>
      </c>
      <c r="H25" s="3">
        <v>0</v>
      </c>
      <c r="I25" s="14">
        <v>1590</v>
      </c>
      <c r="K25" s="3">
        <v>0</v>
      </c>
      <c r="L25" s="3">
        <v>0</v>
      </c>
      <c r="M25" s="3">
        <v>14950</v>
      </c>
      <c r="N25" s="3">
        <v>450</v>
      </c>
      <c r="O25" s="3">
        <v>-23</v>
      </c>
      <c r="P25" s="12">
        <v>-4.8625792811839323</v>
      </c>
      <c r="Q25" s="3">
        <v>231</v>
      </c>
      <c r="R25" s="3">
        <v>56.08</v>
      </c>
      <c r="S25" s="14">
        <v>1.05</v>
      </c>
      <c r="T25" s="3">
        <v>-0.14999999999999991</v>
      </c>
      <c r="U25" s="3">
        <v>-12.499999999999991</v>
      </c>
      <c r="AC25" s="3"/>
      <c r="AH25" s="3"/>
      <c r="AI25" s="3"/>
      <c r="AL25" s="3"/>
      <c r="AQ25" s="3"/>
    </row>
    <row r="26" spans="1:43" x14ac:dyDescent="0.3">
      <c r="A26" s="3">
        <v>14850</v>
      </c>
      <c r="B26" s="3" t="s">
        <v>35</v>
      </c>
      <c r="C26" s="5"/>
      <c r="D26" s="3">
        <v>5</v>
      </c>
      <c r="E26" s="3">
        <v>0</v>
      </c>
      <c r="F26" s="13">
        <v>0</v>
      </c>
      <c r="G26" s="3">
        <v>0</v>
      </c>
      <c r="H26" s="3">
        <v>0</v>
      </c>
      <c r="I26" s="14">
        <v>1381.15</v>
      </c>
      <c r="K26" s="3">
        <v>0</v>
      </c>
      <c r="L26" s="3">
        <v>0</v>
      </c>
      <c r="M26" s="3">
        <v>14850</v>
      </c>
      <c r="N26" s="3">
        <v>57</v>
      </c>
      <c r="O26" s="3">
        <v>-1</v>
      </c>
      <c r="P26" s="12">
        <v>-1.7241379310344829</v>
      </c>
      <c r="Q26" s="3">
        <v>59</v>
      </c>
      <c r="R26" s="3">
        <v>60.11</v>
      </c>
      <c r="S26" s="14">
        <v>1.2</v>
      </c>
      <c r="T26" s="3">
        <v>0.25</v>
      </c>
      <c r="U26" s="3">
        <v>26.315789473684209</v>
      </c>
      <c r="AC26" s="3"/>
      <c r="AH26" s="3"/>
      <c r="AI26" s="3"/>
      <c r="AL26" s="3"/>
      <c r="AQ26" s="3"/>
    </row>
    <row r="27" spans="1:43" x14ac:dyDescent="0.3">
      <c r="A27" s="3">
        <v>14750</v>
      </c>
      <c r="B27" s="3" t="s">
        <v>35</v>
      </c>
      <c r="C27" s="5">
        <v>9650</v>
      </c>
      <c r="D27" s="3">
        <v>3</v>
      </c>
      <c r="E27" s="3">
        <v>0</v>
      </c>
      <c r="F27" s="13">
        <v>0</v>
      </c>
      <c r="G27" s="3">
        <v>0</v>
      </c>
      <c r="H27" s="3">
        <v>0</v>
      </c>
      <c r="I27" s="14">
        <v>1782.1</v>
      </c>
      <c r="J27" s="3">
        <v>9300</v>
      </c>
      <c r="K27" s="3">
        <v>0</v>
      </c>
      <c r="L27" s="3">
        <v>0</v>
      </c>
      <c r="M27" s="3">
        <v>14750</v>
      </c>
      <c r="N27" s="3">
        <v>131</v>
      </c>
      <c r="O27" s="3">
        <v>-12</v>
      </c>
      <c r="P27" s="12">
        <v>-8.3916083916083917</v>
      </c>
      <c r="Q27" s="3">
        <v>26</v>
      </c>
      <c r="R27" s="3">
        <v>62.07</v>
      </c>
      <c r="S27" s="14">
        <v>1</v>
      </c>
      <c r="T27" s="3">
        <v>-0.25</v>
      </c>
      <c r="U27" s="3">
        <v>-20</v>
      </c>
      <c r="AC27" s="3"/>
      <c r="AH27" s="3"/>
      <c r="AI27" s="3"/>
      <c r="AL27" s="3"/>
      <c r="AQ27" s="3"/>
    </row>
    <row r="28" spans="1:43" x14ac:dyDescent="0.3">
      <c r="A28" s="3">
        <v>14650</v>
      </c>
      <c r="B28" s="3" t="s">
        <v>35</v>
      </c>
      <c r="C28" s="5">
        <v>10850</v>
      </c>
      <c r="D28" s="3">
        <v>1</v>
      </c>
      <c r="E28" s="3">
        <v>0</v>
      </c>
      <c r="F28" s="13">
        <v>0</v>
      </c>
      <c r="G28" s="3">
        <v>0</v>
      </c>
      <c r="H28" s="3">
        <v>0</v>
      </c>
      <c r="I28" s="14">
        <v>1844.7</v>
      </c>
      <c r="J28" s="3">
        <v>11150</v>
      </c>
      <c r="K28" s="3">
        <v>0</v>
      </c>
      <c r="L28" s="3">
        <v>0</v>
      </c>
      <c r="M28" s="3">
        <v>14650</v>
      </c>
      <c r="N28" s="3">
        <v>114</v>
      </c>
      <c r="O28" s="3">
        <v>3</v>
      </c>
      <c r="P28" s="12">
        <v>2.7027027027027022</v>
      </c>
      <c r="Q28" s="3">
        <v>1327</v>
      </c>
      <c r="R28" s="3">
        <v>63.72</v>
      </c>
      <c r="S28" s="14">
        <v>0.8</v>
      </c>
      <c r="T28" s="3">
        <v>-0.34999999999999987</v>
      </c>
      <c r="U28" s="3">
        <v>-30.434782608695642</v>
      </c>
      <c r="AC28" s="3"/>
      <c r="AH28" s="3"/>
      <c r="AI28" s="3"/>
      <c r="AL28" s="3"/>
      <c r="AQ28" s="3"/>
    </row>
    <row r="29" spans="1:43" x14ac:dyDescent="0.3">
      <c r="A29" s="3">
        <v>14450</v>
      </c>
      <c r="B29" s="3" t="s">
        <v>35</v>
      </c>
      <c r="C29" s="5">
        <v>7750</v>
      </c>
      <c r="D29" s="3">
        <v>0</v>
      </c>
      <c r="E29" s="3">
        <v>0</v>
      </c>
      <c r="F29" s="13">
        <v>0</v>
      </c>
      <c r="G29" s="3">
        <v>0</v>
      </c>
      <c r="H29" s="3">
        <v>0</v>
      </c>
      <c r="I29" s="14">
        <v>0</v>
      </c>
      <c r="J29" s="3">
        <v>8450</v>
      </c>
      <c r="K29" s="3">
        <v>0</v>
      </c>
      <c r="L29" s="3">
        <v>0</v>
      </c>
      <c r="M29" s="3">
        <v>14450</v>
      </c>
      <c r="N29" s="3">
        <v>43</v>
      </c>
      <c r="O29" s="3">
        <v>30</v>
      </c>
      <c r="P29" s="12">
        <v>230.76923076923077</v>
      </c>
      <c r="Q29" s="3">
        <v>187</v>
      </c>
      <c r="R29" s="3">
        <v>69.010000000000005</v>
      </c>
      <c r="S29" s="14">
        <v>0.7</v>
      </c>
      <c r="T29" s="3">
        <v>-0.15000000000000002</v>
      </c>
      <c r="U29" s="3">
        <v>-17.647058823529417</v>
      </c>
      <c r="AC29" s="3"/>
      <c r="AH29" s="3"/>
      <c r="AI29" s="3"/>
      <c r="AL29" s="3"/>
      <c r="AQ29" s="3"/>
    </row>
    <row r="30" spans="1:43" x14ac:dyDescent="0.3">
      <c r="A30" s="3">
        <v>14250</v>
      </c>
      <c r="B30" s="3" t="s">
        <v>35</v>
      </c>
      <c r="C30" s="5">
        <v>8950</v>
      </c>
      <c r="D30" s="3">
        <v>0</v>
      </c>
      <c r="E30" s="3">
        <v>0</v>
      </c>
      <c r="F30" s="13">
        <v>0</v>
      </c>
      <c r="G30" s="3">
        <v>0</v>
      </c>
      <c r="H30" s="3">
        <v>0</v>
      </c>
      <c r="I30" s="14">
        <v>0</v>
      </c>
      <c r="J30" s="3">
        <v>10950</v>
      </c>
      <c r="K30" s="3">
        <v>0</v>
      </c>
      <c r="L30" s="3">
        <v>0</v>
      </c>
      <c r="M30" s="3">
        <v>14250</v>
      </c>
      <c r="N30" s="3">
        <v>69</v>
      </c>
      <c r="O30" s="3">
        <v>-8</v>
      </c>
      <c r="P30" s="12">
        <v>-10.38961038961039</v>
      </c>
      <c r="Q30" s="3">
        <v>23</v>
      </c>
      <c r="R30" s="3">
        <v>77.099999999999994</v>
      </c>
      <c r="S30" s="14">
        <v>0.9</v>
      </c>
      <c r="T30" s="3">
        <v>-4.9999999999999933E-2</v>
      </c>
      <c r="U30" s="3">
        <v>-5.2631578947368354</v>
      </c>
      <c r="AC30" s="3"/>
      <c r="AH30" s="3"/>
      <c r="AI30" s="3"/>
      <c r="AL30" s="3"/>
      <c r="AQ30" s="3"/>
    </row>
    <row r="31" spans="1:43" x14ac:dyDescent="0.3">
      <c r="A31" s="3">
        <v>13950</v>
      </c>
      <c r="B31" s="3" t="s">
        <v>35</v>
      </c>
      <c r="C31" s="5">
        <v>7950</v>
      </c>
      <c r="D31" s="3">
        <v>0</v>
      </c>
      <c r="E31" s="3">
        <v>0</v>
      </c>
      <c r="F31" s="13">
        <v>0</v>
      </c>
      <c r="G31" s="3">
        <v>0</v>
      </c>
      <c r="H31" s="3">
        <v>0</v>
      </c>
      <c r="I31" s="14">
        <v>0</v>
      </c>
      <c r="J31" s="3">
        <v>8300</v>
      </c>
      <c r="K31" s="3">
        <v>0</v>
      </c>
      <c r="L31" s="3">
        <v>0</v>
      </c>
      <c r="M31" s="3">
        <v>13950</v>
      </c>
      <c r="N31" s="3">
        <v>24</v>
      </c>
      <c r="O31" s="3">
        <v>-9</v>
      </c>
      <c r="P31" s="12">
        <v>-27.272727272727273</v>
      </c>
      <c r="Q31" s="3">
        <v>2471</v>
      </c>
      <c r="R31" s="3">
        <v>81.97</v>
      </c>
      <c r="S31" s="14">
        <v>0.5</v>
      </c>
      <c r="T31" s="3">
        <v>-0.4</v>
      </c>
      <c r="U31" s="3">
        <v>-44.44444444444445</v>
      </c>
      <c r="AC31" s="3"/>
      <c r="AH31" s="3"/>
      <c r="AI31" s="3"/>
      <c r="AL31" s="3"/>
      <c r="AQ31" s="3"/>
    </row>
    <row r="32" spans="1:43" x14ac:dyDescent="0.3">
      <c r="A32" s="3">
        <v>14150</v>
      </c>
      <c r="B32" s="3" t="s">
        <v>35</v>
      </c>
      <c r="C32" s="5">
        <v>8550</v>
      </c>
      <c r="D32" s="3">
        <v>0</v>
      </c>
      <c r="E32" s="3">
        <v>0</v>
      </c>
      <c r="F32" s="13">
        <v>0</v>
      </c>
      <c r="G32" s="3">
        <v>0</v>
      </c>
      <c r="H32" s="3">
        <v>0</v>
      </c>
      <c r="I32" s="14">
        <v>0</v>
      </c>
      <c r="J32" s="3">
        <v>9650</v>
      </c>
      <c r="K32" s="3">
        <v>0</v>
      </c>
      <c r="L32" s="3">
        <v>0</v>
      </c>
      <c r="M32" s="3">
        <v>14150</v>
      </c>
      <c r="N32" s="3">
        <v>11</v>
      </c>
      <c r="O32" s="3">
        <v>-16</v>
      </c>
      <c r="P32" s="12">
        <v>-59.25925925925926</v>
      </c>
      <c r="Q32" s="3">
        <v>46</v>
      </c>
      <c r="R32" s="3">
        <v>74.349999999999994</v>
      </c>
      <c r="S32" s="14">
        <v>0.4</v>
      </c>
      <c r="T32" s="3">
        <v>-0.29999999999999993</v>
      </c>
      <c r="U32" s="3">
        <v>-42.857142857142847</v>
      </c>
      <c r="AC32" s="3"/>
      <c r="AH32" s="3"/>
      <c r="AI32" s="3"/>
      <c r="AL32" s="3"/>
      <c r="AQ32" s="3"/>
    </row>
    <row r="33" spans="1:43" x14ac:dyDescent="0.3">
      <c r="A33" s="3">
        <v>14050</v>
      </c>
      <c r="B33" s="3" t="s">
        <v>35</v>
      </c>
      <c r="C33" s="5">
        <v>11500</v>
      </c>
      <c r="D33" s="3">
        <v>0</v>
      </c>
      <c r="E33" s="3">
        <v>0</v>
      </c>
      <c r="F33" s="13">
        <v>0</v>
      </c>
      <c r="G33" s="3">
        <v>0</v>
      </c>
      <c r="H33" s="3">
        <v>0</v>
      </c>
      <c r="I33" s="14">
        <v>0</v>
      </c>
      <c r="J33" s="3">
        <v>7350</v>
      </c>
      <c r="K33" s="3">
        <v>0</v>
      </c>
      <c r="L33" s="3">
        <v>0</v>
      </c>
      <c r="M33" s="3">
        <v>14050</v>
      </c>
      <c r="N33" s="3">
        <v>33</v>
      </c>
      <c r="O33" s="3">
        <v>-64</v>
      </c>
      <c r="P33" s="12">
        <v>-65.979381443298962</v>
      </c>
      <c r="Q33" s="3">
        <v>2193</v>
      </c>
      <c r="R33" s="3">
        <v>78.16</v>
      </c>
      <c r="S33" s="14">
        <v>0.45</v>
      </c>
      <c r="T33" s="3">
        <v>-0.35000000000000003</v>
      </c>
      <c r="U33" s="3">
        <v>-43.75</v>
      </c>
      <c r="AC33" s="3"/>
      <c r="AH33" s="3"/>
      <c r="AI33" s="3"/>
      <c r="AL33" s="3"/>
      <c r="AQ33" s="3"/>
    </row>
    <row r="34" spans="1:43" x14ac:dyDescent="0.3">
      <c r="A34" s="3">
        <v>15300</v>
      </c>
      <c r="B34" s="3" t="s">
        <v>35</v>
      </c>
      <c r="C34" s="5"/>
      <c r="D34" s="3">
        <v>570</v>
      </c>
      <c r="E34" s="3">
        <v>-1</v>
      </c>
      <c r="F34" s="13">
        <v>-0.17513134851138354</v>
      </c>
      <c r="G34" s="3">
        <v>29</v>
      </c>
      <c r="H34" s="3">
        <v>0</v>
      </c>
      <c r="I34" s="14">
        <v>1332</v>
      </c>
      <c r="K34" s="3">
        <v>132.54999999999995</v>
      </c>
      <c r="L34" s="3">
        <v>11.050898328400512</v>
      </c>
      <c r="M34" s="3">
        <v>15300</v>
      </c>
      <c r="N34" s="3">
        <v>10018</v>
      </c>
      <c r="O34" s="3">
        <v>-2547</v>
      </c>
      <c r="P34" s="12">
        <v>-20.27059291683247</v>
      </c>
      <c r="Q34" s="3">
        <v>27827</v>
      </c>
      <c r="R34" s="3">
        <v>45.99</v>
      </c>
      <c r="S34" s="14">
        <v>1.25</v>
      </c>
      <c r="T34" s="3">
        <v>-0.39999999999999991</v>
      </c>
      <c r="U34" s="3">
        <v>-24.242424242424239</v>
      </c>
      <c r="AC34" s="3"/>
      <c r="AH34" s="3"/>
      <c r="AI34" s="3"/>
      <c r="AL34" s="3"/>
      <c r="AQ34" s="3"/>
    </row>
    <row r="35" spans="1:43" x14ac:dyDescent="0.3">
      <c r="A35" s="3">
        <v>15450</v>
      </c>
      <c r="B35" s="3" t="s">
        <v>35</v>
      </c>
      <c r="C35" s="5"/>
      <c r="D35" s="3">
        <v>68</v>
      </c>
      <c r="E35" s="3">
        <v>-1</v>
      </c>
      <c r="F35" s="13">
        <v>-1.4492753623188406</v>
      </c>
      <c r="G35" s="3">
        <v>1</v>
      </c>
      <c r="H35" s="3">
        <v>0</v>
      </c>
      <c r="I35" s="14">
        <v>1149.4000000000001</v>
      </c>
      <c r="K35" s="3">
        <v>106.65000000000008</v>
      </c>
      <c r="L35" s="3">
        <v>10.227763126348606</v>
      </c>
      <c r="M35" s="3">
        <v>15450</v>
      </c>
      <c r="N35" s="3">
        <v>1791</v>
      </c>
      <c r="O35" s="3">
        <v>113</v>
      </c>
      <c r="P35" s="12">
        <v>6.7342073897497023</v>
      </c>
      <c r="Q35" s="3">
        <v>2278</v>
      </c>
      <c r="R35" s="3">
        <v>42.64</v>
      </c>
      <c r="S35" s="14">
        <v>1.65</v>
      </c>
      <c r="T35" s="3">
        <v>-0.20000000000000015</v>
      </c>
      <c r="U35" s="3">
        <v>-10.810810810810819</v>
      </c>
      <c r="AC35" s="3"/>
      <c r="AH35" s="3"/>
      <c r="AI35" s="3"/>
      <c r="AL35" s="3"/>
      <c r="AQ35" s="3"/>
    </row>
    <row r="36" spans="1:43" x14ac:dyDescent="0.3">
      <c r="A36" s="3">
        <v>17950</v>
      </c>
      <c r="B36" s="3" t="s">
        <v>35</v>
      </c>
      <c r="C36" s="5"/>
      <c r="D36" s="3">
        <v>548</v>
      </c>
      <c r="E36" s="3">
        <v>-2</v>
      </c>
      <c r="F36" s="13">
        <v>-0.3636363636363637</v>
      </c>
      <c r="G36" s="3">
        <v>5346</v>
      </c>
      <c r="H36" s="3">
        <v>36.14</v>
      </c>
      <c r="I36" s="14">
        <v>0.3</v>
      </c>
      <c r="K36" s="3">
        <v>-0.35000000000000003</v>
      </c>
      <c r="L36" s="3">
        <v>-53.846153846153854</v>
      </c>
      <c r="M36" s="3">
        <v>17950</v>
      </c>
      <c r="N36" s="3">
        <v>0</v>
      </c>
      <c r="O36" s="3">
        <v>0</v>
      </c>
      <c r="P36" s="12">
        <v>0</v>
      </c>
      <c r="Q36" s="3">
        <v>0</v>
      </c>
      <c r="R36" s="3">
        <v>0</v>
      </c>
      <c r="S36" s="14">
        <v>0</v>
      </c>
      <c r="T36" s="3">
        <v>0</v>
      </c>
      <c r="U36" s="3">
        <v>0</v>
      </c>
      <c r="AC36" s="3"/>
      <c r="AH36" s="3"/>
      <c r="AI36" s="3"/>
      <c r="AL36" s="3"/>
      <c r="AQ36" s="3"/>
    </row>
    <row r="37" spans="1:43" x14ac:dyDescent="0.3">
      <c r="A37" s="3">
        <v>15550</v>
      </c>
      <c r="B37" s="3" t="s">
        <v>35</v>
      </c>
      <c r="C37" s="5"/>
      <c r="D37" s="3">
        <v>189</v>
      </c>
      <c r="E37" s="3">
        <v>-2</v>
      </c>
      <c r="F37" s="13">
        <v>-1.0471204188481675</v>
      </c>
      <c r="G37" s="3">
        <v>20</v>
      </c>
      <c r="H37" s="3">
        <v>0</v>
      </c>
      <c r="I37" s="14">
        <v>1064.45</v>
      </c>
      <c r="K37" s="3">
        <v>120.95000000000005</v>
      </c>
      <c r="L37" s="3">
        <v>12.819289878113413</v>
      </c>
      <c r="M37" s="3">
        <v>15550</v>
      </c>
      <c r="N37" s="3">
        <v>3413</v>
      </c>
      <c r="O37" s="3">
        <v>248</v>
      </c>
      <c r="P37" s="12">
        <v>7.8357030015797786</v>
      </c>
      <c r="Q37" s="3">
        <v>5502</v>
      </c>
      <c r="R37" s="3">
        <v>39.5</v>
      </c>
      <c r="S37" s="14">
        <v>1.7</v>
      </c>
      <c r="T37" s="3">
        <v>-0.30000000000000004</v>
      </c>
      <c r="U37" s="3">
        <v>-15.000000000000002</v>
      </c>
      <c r="AC37" s="3"/>
      <c r="AH37" s="3"/>
      <c r="AI37" s="3"/>
      <c r="AL37" s="3"/>
      <c r="AQ37" s="3"/>
    </row>
    <row r="38" spans="1:43" x14ac:dyDescent="0.3">
      <c r="A38" s="3">
        <v>14600</v>
      </c>
      <c r="B38" s="3" t="s">
        <v>35</v>
      </c>
      <c r="C38" s="5">
        <v>10700</v>
      </c>
      <c r="D38" s="3">
        <v>163</v>
      </c>
      <c r="E38" s="3">
        <v>-3</v>
      </c>
      <c r="F38" s="13">
        <v>-1.8072289156626504</v>
      </c>
      <c r="G38" s="3">
        <v>12</v>
      </c>
      <c r="H38" s="3">
        <v>0</v>
      </c>
      <c r="I38" s="14">
        <v>2020.9</v>
      </c>
      <c r="J38" s="3">
        <v>7600</v>
      </c>
      <c r="K38" s="3">
        <v>132.15000000000009</v>
      </c>
      <c r="L38" s="3">
        <v>6.9966909331568541</v>
      </c>
      <c r="M38" s="3">
        <v>14600</v>
      </c>
      <c r="N38" s="3">
        <v>3201</v>
      </c>
      <c r="O38" s="3">
        <v>-367</v>
      </c>
      <c r="P38" s="12">
        <v>-10.285874439461884</v>
      </c>
      <c r="Q38" s="3">
        <v>2707</v>
      </c>
      <c r="R38" s="3">
        <v>66.44</v>
      </c>
      <c r="S38" s="14">
        <v>0.95</v>
      </c>
      <c r="T38" s="3">
        <v>-0.19999999999999996</v>
      </c>
      <c r="U38" s="3">
        <v>-17.391304347826082</v>
      </c>
      <c r="AC38" s="3"/>
      <c r="AH38" s="3"/>
      <c r="AI38" s="3"/>
      <c r="AL38" s="3"/>
      <c r="AQ38" s="3"/>
    </row>
    <row r="39" spans="1:43" x14ac:dyDescent="0.3">
      <c r="A39" s="3">
        <v>15400</v>
      </c>
      <c r="B39" s="3" t="s">
        <v>35</v>
      </c>
      <c r="C39" s="5"/>
      <c r="D39" s="3">
        <v>1716</v>
      </c>
      <c r="E39" s="3">
        <v>-4</v>
      </c>
      <c r="F39" s="13">
        <v>-0.23255813953488372</v>
      </c>
      <c r="G39" s="3">
        <v>85</v>
      </c>
      <c r="H39" s="3">
        <v>0</v>
      </c>
      <c r="I39" s="14">
        <v>1213</v>
      </c>
      <c r="K39" s="3">
        <v>120.59999999999992</v>
      </c>
      <c r="L39" s="3">
        <v>11.039912120102516</v>
      </c>
      <c r="M39" s="3">
        <v>15400</v>
      </c>
      <c r="N39" s="3">
        <v>13698</v>
      </c>
      <c r="O39" s="3">
        <v>-7408</v>
      </c>
      <c r="P39" s="12">
        <v>-35.099023974225339</v>
      </c>
      <c r="Q39" s="3">
        <v>40891</v>
      </c>
      <c r="R39" s="3">
        <v>43</v>
      </c>
      <c r="S39" s="14">
        <v>1.3</v>
      </c>
      <c r="T39" s="3">
        <v>-0.45</v>
      </c>
      <c r="U39" s="3">
        <v>-25.714285714285712</v>
      </c>
      <c r="AC39" s="3"/>
      <c r="AH39" s="3"/>
      <c r="AI39" s="3"/>
      <c r="AL39" s="3"/>
      <c r="AQ39" s="3"/>
    </row>
    <row r="40" spans="1:43" x14ac:dyDescent="0.3">
      <c r="A40" s="3">
        <v>15750</v>
      </c>
      <c r="B40" s="3" t="s">
        <v>35</v>
      </c>
      <c r="C40" s="5"/>
      <c r="D40" s="3">
        <v>749</v>
      </c>
      <c r="E40" s="3">
        <v>-4</v>
      </c>
      <c r="F40" s="13">
        <v>-0.53120849933598935</v>
      </c>
      <c r="G40" s="3">
        <v>26</v>
      </c>
      <c r="H40" s="3">
        <v>0</v>
      </c>
      <c r="I40" s="14">
        <v>863.45</v>
      </c>
      <c r="K40" s="3">
        <v>120.70000000000005</v>
      </c>
      <c r="L40" s="3">
        <v>16.250420733759682</v>
      </c>
      <c r="M40" s="3">
        <v>15750</v>
      </c>
      <c r="N40" s="3">
        <v>4739</v>
      </c>
      <c r="O40" s="3">
        <v>-1173</v>
      </c>
      <c r="P40" s="12">
        <v>-19.841001353179973</v>
      </c>
      <c r="Q40" s="3">
        <v>7334</v>
      </c>
      <c r="R40" s="3">
        <v>33.729999999999997</v>
      </c>
      <c r="S40" s="14">
        <v>2.0499999999999998</v>
      </c>
      <c r="T40" s="3">
        <v>-0.45000000000000018</v>
      </c>
      <c r="U40" s="3">
        <v>-18.000000000000007</v>
      </c>
      <c r="AC40" s="3"/>
      <c r="AH40" s="3"/>
      <c r="AI40" s="3"/>
      <c r="AL40" s="3"/>
      <c r="AQ40" s="3"/>
    </row>
    <row r="41" spans="1:43" x14ac:dyDescent="0.3">
      <c r="A41" s="3">
        <v>14100</v>
      </c>
      <c r="B41" s="3" t="s">
        <v>35</v>
      </c>
      <c r="C41" s="5">
        <v>10200</v>
      </c>
      <c r="D41" s="3">
        <v>21</v>
      </c>
      <c r="E41" s="3">
        <v>-4</v>
      </c>
      <c r="F41" s="13">
        <v>-16</v>
      </c>
      <c r="G41" s="3">
        <v>4</v>
      </c>
      <c r="H41" s="3">
        <v>0</v>
      </c>
      <c r="I41" s="14">
        <v>2514</v>
      </c>
      <c r="J41" s="3">
        <v>10600</v>
      </c>
      <c r="K41" s="3">
        <v>203</v>
      </c>
      <c r="L41" s="3">
        <v>8.7840761575075721</v>
      </c>
      <c r="M41" s="3">
        <v>14100</v>
      </c>
      <c r="N41" s="3">
        <v>2169</v>
      </c>
      <c r="O41" s="3">
        <v>-29</v>
      </c>
      <c r="P41" s="12">
        <v>-1.3193812556869882</v>
      </c>
      <c r="Q41" s="3">
        <v>2352</v>
      </c>
      <c r="R41" s="3">
        <v>76.650000000000006</v>
      </c>
      <c r="S41" s="14">
        <v>0.45</v>
      </c>
      <c r="T41" s="3">
        <v>-0.4</v>
      </c>
      <c r="U41" s="3">
        <v>-47.058823529411761</v>
      </c>
      <c r="AC41" s="3"/>
      <c r="AH41" s="3"/>
      <c r="AI41" s="3"/>
      <c r="AL41" s="3"/>
      <c r="AQ41" s="3"/>
    </row>
    <row r="42" spans="1:43" x14ac:dyDescent="0.3">
      <c r="A42" s="3">
        <v>15650</v>
      </c>
      <c r="B42" s="3" t="s">
        <v>35</v>
      </c>
      <c r="C42" s="5"/>
      <c r="D42" s="3">
        <v>215</v>
      </c>
      <c r="E42" s="3">
        <v>-5</v>
      </c>
      <c r="F42" s="13">
        <v>-2.2727272727272729</v>
      </c>
      <c r="G42" s="3">
        <v>11</v>
      </c>
      <c r="H42" s="3">
        <v>0</v>
      </c>
      <c r="I42" s="14">
        <v>970.35</v>
      </c>
      <c r="K42" s="3">
        <v>128</v>
      </c>
      <c r="L42" s="3">
        <v>15.195583783462933</v>
      </c>
      <c r="M42" s="3">
        <v>15650</v>
      </c>
      <c r="N42" s="3">
        <v>2330</v>
      </c>
      <c r="O42" s="3">
        <v>127</v>
      </c>
      <c r="P42" s="12">
        <v>5.764866091693146</v>
      </c>
      <c r="Q42" s="3">
        <v>4171</v>
      </c>
      <c r="R42" s="3">
        <v>35.909999999999997</v>
      </c>
      <c r="S42" s="14">
        <v>1.6</v>
      </c>
      <c r="T42" s="3">
        <v>-0.60000000000000009</v>
      </c>
      <c r="U42" s="3">
        <v>-27.272727272727277</v>
      </c>
      <c r="AC42" s="3"/>
      <c r="AH42" s="3"/>
      <c r="AI42" s="3"/>
      <c r="AL42" s="3"/>
      <c r="AQ42" s="3"/>
    </row>
    <row r="43" spans="1:43" x14ac:dyDescent="0.3">
      <c r="A43" s="3">
        <v>14400</v>
      </c>
      <c r="B43" s="3" t="s">
        <v>35</v>
      </c>
      <c r="C43" s="5">
        <v>10950</v>
      </c>
      <c r="D43" s="3">
        <v>95</v>
      </c>
      <c r="E43" s="3">
        <v>-5</v>
      </c>
      <c r="F43" s="13">
        <v>-5</v>
      </c>
      <c r="G43" s="3">
        <v>19</v>
      </c>
      <c r="H43" s="3">
        <v>0</v>
      </c>
      <c r="I43" s="14">
        <v>2226.15</v>
      </c>
      <c r="J43" s="3">
        <v>11300</v>
      </c>
      <c r="K43" s="3">
        <v>121.15000000000008</v>
      </c>
      <c r="L43" s="3">
        <v>5.7553444180522604</v>
      </c>
      <c r="M43" s="3">
        <v>14400</v>
      </c>
      <c r="N43" s="3">
        <v>2665</v>
      </c>
      <c r="O43" s="3">
        <v>0</v>
      </c>
      <c r="P43" s="12">
        <v>0</v>
      </c>
      <c r="Q43" s="3">
        <v>4321</v>
      </c>
      <c r="R43" s="3">
        <v>70.56</v>
      </c>
      <c r="S43" s="14">
        <v>0.7</v>
      </c>
      <c r="T43" s="3">
        <v>-0.15000000000000002</v>
      </c>
      <c r="U43" s="3">
        <v>-17.647058823529417</v>
      </c>
      <c r="AC43" s="3"/>
      <c r="AH43" s="3"/>
      <c r="AI43" s="3"/>
      <c r="AL43" s="3"/>
      <c r="AQ43" s="3"/>
    </row>
    <row r="44" spans="1:43" x14ac:dyDescent="0.3">
      <c r="A44" s="3">
        <v>14350</v>
      </c>
      <c r="B44" s="3" t="s">
        <v>35</v>
      </c>
      <c r="C44" s="5">
        <v>10350</v>
      </c>
      <c r="D44" s="3">
        <v>1</v>
      </c>
      <c r="E44" s="3">
        <v>-5</v>
      </c>
      <c r="F44" s="13">
        <v>-83.333333333333329</v>
      </c>
      <c r="G44" s="3">
        <v>8</v>
      </c>
      <c r="H44" s="3">
        <v>0</v>
      </c>
      <c r="I44" s="14">
        <v>2223.6999999999998</v>
      </c>
      <c r="J44" s="3">
        <v>10100</v>
      </c>
      <c r="K44" s="3">
        <v>108.84999999999992</v>
      </c>
      <c r="L44" s="3">
        <v>5.1469371350213917</v>
      </c>
      <c r="M44" s="3">
        <v>14350</v>
      </c>
      <c r="N44" s="3">
        <v>56</v>
      </c>
      <c r="O44" s="3">
        <v>-7</v>
      </c>
      <c r="P44" s="12">
        <v>-11.111111111111111</v>
      </c>
      <c r="Q44" s="3">
        <v>1134</v>
      </c>
      <c r="R44" s="3">
        <v>71.03</v>
      </c>
      <c r="S44" s="14">
        <v>0.6</v>
      </c>
      <c r="T44" s="3">
        <v>-0.30000000000000004</v>
      </c>
      <c r="U44" s="3">
        <v>-33.333333333333336</v>
      </c>
      <c r="AC44" s="3"/>
      <c r="AH44" s="3"/>
      <c r="AI44" s="3"/>
      <c r="AL44" s="3"/>
      <c r="AQ44" s="3"/>
    </row>
    <row r="45" spans="1:43" x14ac:dyDescent="0.3">
      <c r="A45" s="3">
        <v>14900</v>
      </c>
      <c r="B45" s="3" t="s">
        <v>35</v>
      </c>
      <c r="C45" s="5"/>
      <c r="D45" s="3">
        <v>90</v>
      </c>
      <c r="E45" s="3">
        <v>-6</v>
      </c>
      <c r="F45" s="13">
        <v>-6.25</v>
      </c>
      <c r="G45" s="3">
        <v>15</v>
      </c>
      <c r="H45" s="3">
        <v>70.42</v>
      </c>
      <c r="I45" s="14">
        <v>1737.9</v>
      </c>
      <c r="K45" s="3">
        <v>143.5</v>
      </c>
      <c r="L45" s="3">
        <v>9.0002508780732562</v>
      </c>
      <c r="M45" s="3">
        <v>14900</v>
      </c>
      <c r="N45" s="3">
        <v>7161</v>
      </c>
      <c r="O45" s="3">
        <v>-1198</v>
      </c>
      <c r="P45" s="12">
        <v>-14.331857877736571</v>
      </c>
      <c r="Q45" s="3">
        <v>9367</v>
      </c>
      <c r="R45" s="3">
        <v>58.23</v>
      </c>
      <c r="S45" s="14">
        <v>1.1499999999999999</v>
      </c>
      <c r="T45" s="3">
        <v>-0.10000000000000007</v>
      </c>
      <c r="U45" s="3">
        <v>-8.0000000000000071</v>
      </c>
      <c r="AC45" s="3"/>
      <c r="AH45" s="3"/>
      <c r="AI45" s="3"/>
      <c r="AL45" s="3"/>
      <c r="AQ45" s="3"/>
    </row>
    <row r="46" spans="1:43" x14ac:dyDescent="0.3">
      <c r="A46" s="3">
        <v>17250</v>
      </c>
      <c r="B46" s="3" t="s">
        <v>35</v>
      </c>
      <c r="C46" s="5"/>
      <c r="D46" s="3">
        <v>2639</v>
      </c>
      <c r="E46" s="3">
        <v>-11</v>
      </c>
      <c r="F46" s="13">
        <v>-0.41509433962264153</v>
      </c>
      <c r="G46" s="3">
        <v>2868</v>
      </c>
      <c r="H46" s="3">
        <v>21.42</v>
      </c>
      <c r="I46" s="14">
        <v>1</v>
      </c>
      <c r="K46" s="3">
        <v>-0.45</v>
      </c>
      <c r="L46" s="3">
        <v>-31.034482758620683</v>
      </c>
      <c r="M46" s="3">
        <v>17250</v>
      </c>
      <c r="N46" s="3">
        <v>1</v>
      </c>
      <c r="O46" s="3">
        <v>0</v>
      </c>
      <c r="P46" s="12">
        <v>0</v>
      </c>
      <c r="Q46" s="3">
        <v>0</v>
      </c>
      <c r="R46" s="3">
        <v>0</v>
      </c>
      <c r="S46" s="14">
        <v>610.29999999999995</v>
      </c>
      <c r="T46" s="3">
        <v>0</v>
      </c>
      <c r="U46" s="3">
        <v>0</v>
      </c>
      <c r="AC46" s="3"/>
      <c r="AH46" s="3"/>
      <c r="AI46" s="3"/>
      <c r="AL46" s="3"/>
      <c r="AQ46" s="3"/>
    </row>
    <row r="47" spans="1:43" x14ac:dyDescent="0.3">
      <c r="A47" s="3">
        <v>13850</v>
      </c>
      <c r="B47" s="3" t="s">
        <v>35</v>
      </c>
      <c r="C47" s="5">
        <v>9350</v>
      </c>
      <c r="D47" s="3">
        <v>361</v>
      </c>
      <c r="E47" s="3">
        <v>-12</v>
      </c>
      <c r="F47" s="13">
        <v>-3.2171581769436997</v>
      </c>
      <c r="G47" s="3">
        <v>19</v>
      </c>
      <c r="H47" s="3">
        <v>0</v>
      </c>
      <c r="I47" s="14">
        <v>2765</v>
      </c>
      <c r="J47" s="3">
        <v>9700</v>
      </c>
      <c r="K47" s="3">
        <v>116.09999999999992</v>
      </c>
      <c r="L47" s="3">
        <v>4.3829514137944017</v>
      </c>
      <c r="M47" s="3">
        <v>13850</v>
      </c>
      <c r="N47" s="3">
        <v>5383</v>
      </c>
      <c r="O47" s="3">
        <v>379</v>
      </c>
      <c r="P47" s="12">
        <v>7.5739408473221426</v>
      </c>
      <c r="Q47" s="3">
        <v>2379</v>
      </c>
      <c r="R47" s="3">
        <v>84.23</v>
      </c>
      <c r="S47" s="14">
        <v>0.45</v>
      </c>
      <c r="T47" s="3">
        <v>-0.49999999999999994</v>
      </c>
      <c r="U47" s="3">
        <v>-52.631578947368418</v>
      </c>
      <c r="AC47" s="3"/>
      <c r="AH47" s="3"/>
      <c r="AI47" s="3"/>
      <c r="AL47" s="3"/>
      <c r="AQ47" s="3"/>
    </row>
    <row r="48" spans="1:43" x14ac:dyDescent="0.3">
      <c r="A48" s="3">
        <v>17450</v>
      </c>
      <c r="B48" s="3" t="s">
        <v>35</v>
      </c>
      <c r="C48" s="5"/>
      <c r="D48" s="3">
        <v>166</v>
      </c>
      <c r="E48" s="3">
        <v>-12</v>
      </c>
      <c r="F48" s="13">
        <v>-6.7415730337078648</v>
      </c>
      <c r="G48" s="3">
        <v>3118</v>
      </c>
      <c r="H48" s="3">
        <v>25.87</v>
      </c>
      <c r="I48" s="14">
        <v>0.65</v>
      </c>
      <c r="K48" s="3">
        <v>-0.70000000000000007</v>
      </c>
      <c r="L48" s="3">
        <v>-51.851851851851848</v>
      </c>
      <c r="M48" s="3">
        <v>17450</v>
      </c>
      <c r="N48" s="3">
        <v>3</v>
      </c>
      <c r="O48" s="3">
        <v>1</v>
      </c>
      <c r="P48" s="12">
        <v>50</v>
      </c>
      <c r="Q48" s="3">
        <v>2</v>
      </c>
      <c r="R48" s="3">
        <v>48.11</v>
      </c>
      <c r="S48" s="14">
        <v>840.9</v>
      </c>
      <c r="T48" s="3">
        <v>-128.35000000000002</v>
      </c>
      <c r="U48" s="3">
        <v>-13.242197575444932</v>
      </c>
      <c r="AC48" s="3"/>
      <c r="AH48" s="3"/>
      <c r="AI48" s="3"/>
      <c r="AL48" s="3"/>
      <c r="AQ48" s="3"/>
    </row>
    <row r="49" spans="1:43" x14ac:dyDescent="0.3">
      <c r="A49" s="3">
        <v>14700</v>
      </c>
      <c r="B49" s="3" t="s">
        <v>35</v>
      </c>
      <c r="C49" s="5">
        <v>10300</v>
      </c>
      <c r="D49" s="3">
        <v>196</v>
      </c>
      <c r="E49" s="3">
        <v>-21</v>
      </c>
      <c r="F49" s="13">
        <v>-9.67741935483871</v>
      </c>
      <c r="G49" s="3">
        <v>26</v>
      </c>
      <c r="H49" s="3">
        <v>0</v>
      </c>
      <c r="I49" s="14">
        <v>1918.75</v>
      </c>
      <c r="J49" s="3">
        <v>11500</v>
      </c>
      <c r="K49" s="3">
        <v>128.75</v>
      </c>
      <c r="L49" s="3">
        <v>7.1927374301675977</v>
      </c>
      <c r="M49" s="3">
        <v>14700</v>
      </c>
      <c r="N49" s="3">
        <v>3991</v>
      </c>
      <c r="O49" s="3">
        <v>-2227</v>
      </c>
      <c r="P49" s="12">
        <v>-35.815374718559021</v>
      </c>
      <c r="Q49" s="3">
        <v>6721</v>
      </c>
      <c r="R49" s="3">
        <v>65.2</v>
      </c>
      <c r="S49" s="14">
        <v>1.25</v>
      </c>
      <c r="T49" s="3">
        <v>5.0000000000000051E-2</v>
      </c>
      <c r="U49" s="3">
        <v>4.1666666666666705</v>
      </c>
      <c r="AC49" s="3"/>
      <c r="AH49" s="3"/>
      <c r="AI49" s="3"/>
      <c r="AL49" s="3"/>
      <c r="AQ49" s="3"/>
    </row>
    <row r="50" spans="1:43" x14ac:dyDescent="0.3">
      <c r="A50" s="3">
        <v>15950</v>
      </c>
      <c r="B50" s="3" t="s">
        <v>35</v>
      </c>
      <c r="C50" s="5"/>
      <c r="D50" s="3">
        <v>495</v>
      </c>
      <c r="E50" s="3">
        <v>-25</v>
      </c>
      <c r="F50" s="13">
        <v>-4.8076923076923075</v>
      </c>
      <c r="G50" s="3">
        <v>51</v>
      </c>
      <c r="H50" s="3">
        <v>21.33</v>
      </c>
      <c r="I50" s="14">
        <v>683.65</v>
      </c>
      <c r="K50" s="3">
        <v>139.89999999999998</v>
      </c>
      <c r="L50" s="3">
        <v>25.728735632183906</v>
      </c>
      <c r="M50" s="3">
        <v>15950</v>
      </c>
      <c r="N50" s="3">
        <v>6240</v>
      </c>
      <c r="O50" s="3">
        <v>-1940</v>
      </c>
      <c r="P50" s="12">
        <v>-23.716381418092908</v>
      </c>
      <c r="Q50" s="3">
        <v>30718</v>
      </c>
      <c r="R50" s="3">
        <v>28.12</v>
      </c>
      <c r="S50" s="14">
        <v>2.75</v>
      </c>
      <c r="T50" s="3">
        <v>-0.89999999999999991</v>
      </c>
      <c r="U50" s="3">
        <v>-24.657534246575342</v>
      </c>
      <c r="AC50" s="3"/>
      <c r="AH50" s="3"/>
      <c r="AI50" s="3"/>
      <c r="AL50" s="3"/>
      <c r="AQ50" s="3"/>
    </row>
    <row r="51" spans="1:43" x14ac:dyDescent="0.3">
      <c r="A51" s="3">
        <v>16050</v>
      </c>
      <c r="B51" s="3" t="s">
        <v>35</v>
      </c>
      <c r="C51" s="5"/>
      <c r="D51" s="3">
        <v>603</v>
      </c>
      <c r="E51" s="3">
        <v>-28</v>
      </c>
      <c r="F51" s="13">
        <v>-4.4374009508716323</v>
      </c>
      <c r="G51" s="3">
        <v>249</v>
      </c>
      <c r="H51" s="3">
        <v>0</v>
      </c>
      <c r="I51" s="14">
        <v>566.5</v>
      </c>
      <c r="K51" s="3">
        <v>119.89999999999998</v>
      </c>
      <c r="L51" s="3">
        <v>26.847290640394085</v>
      </c>
      <c r="M51" s="3">
        <v>16050</v>
      </c>
      <c r="N51" s="3">
        <v>9758</v>
      </c>
      <c r="O51" s="3">
        <v>-863</v>
      </c>
      <c r="P51" s="12">
        <v>-8.1254119197815644</v>
      </c>
      <c r="Q51" s="3">
        <v>105097</v>
      </c>
      <c r="R51" s="3">
        <v>26.13</v>
      </c>
      <c r="S51" s="14">
        <v>4</v>
      </c>
      <c r="T51" s="3">
        <v>-1.4000000000000004</v>
      </c>
      <c r="U51" s="3">
        <v>-25.925925925925931</v>
      </c>
      <c r="AC51" s="3"/>
      <c r="AH51" s="3"/>
      <c r="AI51" s="3"/>
      <c r="AL51" s="3"/>
      <c r="AQ51" s="3"/>
    </row>
    <row r="52" spans="1:43" x14ac:dyDescent="0.3">
      <c r="A52" s="3">
        <v>14200</v>
      </c>
      <c r="B52" s="3" t="s">
        <v>35</v>
      </c>
      <c r="C52" s="5">
        <v>10100</v>
      </c>
      <c r="D52" s="3">
        <v>183</v>
      </c>
      <c r="E52" s="3">
        <v>-32</v>
      </c>
      <c r="F52" s="13">
        <v>-14.883720930232558</v>
      </c>
      <c r="G52" s="3">
        <v>106</v>
      </c>
      <c r="H52" s="3">
        <v>0</v>
      </c>
      <c r="I52" s="14">
        <v>2421</v>
      </c>
      <c r="J52" s="3">
        <v>7900</v>
      </c>
      <c r="K52" s="3">
        <v>135.44999999999982</v>
      </c>
      <c r="L52" s="3">
        <v>5.9263634573734905</v>
      </c>
      <c r="M52" s="3">
        <v>14200</v>
      </c>
      <c r="N52" s="3">
        <v>8117</v>
      </c>
      <c r="O52" s="3">
        <v>-2182</v>
      </c>
      <c r="P52" s="12">
        <v>-21.186522963394506</v>
      </c>
      <c r="Q52" s="3">
        <v>8282</v>
      </c>
      <c r="R52" s="3">
        <v>76.209999999999994</v>
      </c>
      <c r="S52" s="14">
        <v>0.65</v>
      </c>
      <c r="T52" s="3">
        <v>-0.25</v>
      </c>
      <c r="U52" s="3">
        <v>-27.777777777777779</v>
      </c>
      <c r="AC52" s="3"/>
      <c r="AH52" s="3"/>
      <c r="AI52" s="3"/>
      <c r="AL52" s="3"/>
      <c r="AQ52" s="3"/>
    </row>
    <row r="53" spans="1:43" x14ac:dyDescent="0.3">
      <c r="A53" s="3">
        <v>17800</v>
      </c>
      <c r="B53" s="3" t="s">
        <v>35</v>
      </c>
      <c r="C53" s="5"/>
      <c r="D53" s="3">
        <v>8218</v>
      </c>
      <c r="E53" s="3">
        <v>-36</v>
      </c>
      <c r="F53" s="13">
        <v>-0.43615216864550521</v>
      </c>
      <c r="G53" s="3">
        <v>9207</v>
      </c>
      <c r="H53" s="3">
        <v>34.22</v>
      </c>
      <c r="I53" s="14">
        <v>0.5</v>
      </c>
      <c r="K53" s="3">
        <v>-0.35</v>
      </c>
      <c r="L53" s="3">
        <v>-41.17647058823529</v>
      </c>
      <c r="M53" s="3">
        <v>17800</v>
      </c>
      <c r="N53" s="3">
        <v>9</v>
      </c>
      <c r="O53" s="3">
        <v>-3</v>
      </c>
      <c r="P53" s="12">
        <v>-25</v>
      </c>
      <c r="Q53" s="3">
        <v>5</v>
      </c>
      <c r="R53" s="3">
        <v>56.77</v>
      </c>
      <c r="S53" s="14">
        <v>1181.95</v>
      </c>
      <c r="T53" s="3">
        <v>-134.14999999999986</v>
      </c>
      <c r="U53" s="3">
        <v>-10.192994453309009</v>
      </c>
      <c r="AC53" s="3"/>
      <c r="AH53" s="3"/>
      <c r="AI53" s="3"/>
      <c r="AL53" s="3"/>
      <c r="AQ53" s="3"/>
    </row>
    <row r="54" spans="1:43" x14ac:dyDescent="0.3">
      <c r="A54" s="3">
        <v>14300</v>
      </c>
      <c r="B54" s="3" t="s">
        <v>35</v>
      </c>
      <c r="C54" s="5">
        <v>9300</v>
      </c>
      <c r="D54" s="3">
        <v>129</v>
      </c>
      <c r="E54" s="3">
        <v>-37</v>
      </c>
      <c r="F54" s="13">
        <v>-22.289156626506024</v>
      </c>
      <c r="G54" s="3">
        <v>46</v>
      </c>
      <c r="H54" s="3">
        <v>0</v>
      </c>
      <c r="I54" s="14">
        <v>2331</v>
      </c>
      <c r="J54" s="3">
        <v>10900</v>
      </c>
      <c r="K54" s="3">
        <v>174</v>
      </c>
      <c r="L54" s="3">
        <v>8.0667593880389425</v>
      </c>
      <c r="M54" s="3">
        <v>14300</v>
      </c>
      <c r="N54" s="3">
        <v>698</v>
      </c>
      <c r="O54" s="3">
        <v>-31</v>
      </c>
      <c r="P54" s="12">
        <v>-4.252400548696845</v>
      </c>
      <c r="Q54" s="3">
        <v>7917</v>
      </c>
      <c r="R54" s="3">
        <v>73.12</v>
      </c>
      <c r="S54" s="14">
        <v>0.65</v>
      </c>
      <c r="T54" s="3">
        <v>-0.29999999999999993</v>
      </c>
      <c r="U54" s="3">
        <v>-31.578947368421044</v>
      </c>
      <c r="AC54" s="3"/>
      <c r="AH54" s="3"/>
      <c r="AI54" s="3"/>
      <c r="AL54" s="3"/>
      <c r="AQ54" s="3"/>
    </row>
    <row r="55" spans="1:43" x14ac:dyDescent="0.3">
      <c r="A55" s="3">
        <v>17350</v>
      </c>
      <c r="B55" s="3" t="s">
        <v>35</v>
      </c>
      <c r="C55" s="5"/>
      <c r="D55" s="3">
        <v>650</v>
      </c>
      <c r="E55" s="3">
        <v>-42</v>
      </c>
      <c r="F55" s="13">
        <v>-6.0693641618497107</v>
      </c>
      <c r="G55" s="3">
        <v>3259</v>
      </c>
      <c r="H55" s="3">
        <v>23.69</v>
      </c>
      <c r="I55" s="14">
        <v>0.8</v>
      </c>
      <c r="K55" s="3">
        <v>-0.5</v>
      </c>
      <c r="L55" s="3">
        <v>-38.46153846153846</v>
      </c>
      <c r="M55" s="3">
        <v>17350</v>
      </c>
      <c r="N55" s="3">
        <v>5</v>
      </c>
      <c r="O55" s="3">
        <v>0</v>
      </c>
      <c r="P55" s="12">
        <v>0</v>
      </c>
      <c r="Q55" s="3">
        <v>0</v>
      </c>
      <c r="R55" s="3">
        <v>0</v>
      </c>
      <c r="S55" s="14">
        <v>858.25</v>
      </c>
      <c r="T55" s="3">
        <v>0</v>
      </c>
      <c r="U55" s="3">
        <v>0</v>
      </c>
      <c r="AC55" s="3"/>
      <c r="AH55" s="3"/>
      <c r="AI55" s="3"/>
      <c r="AL55" s="3"/>
      <c r="AQ55" s="3"/>
    </row>
    <row r="56" spans="1:43" x14ac:dyDescent="0.3">
      <c r="A56" s="3">
        <v>17750</v>
      </c>
      <c r="B56" s="3" t="s">
        <v>35</v>
      </c>
      <c r="C56" s="5">
        <v>9800</v>
      </c>
      <c r="D56" s="3">
        <v>84</v>
      </c>
      <c r="E56" s="3">
        <v>-45</v>
      </c>
      <c r="F56" s="13">
        <v>-34.883720930232556</v>
      </c>
      <c r="G56" s="3">
        <v>4379</v>
      </c>
      <c r="H56" s="3">
        <v>32.200000000000003</v>
      </c>
      <c r="I56" s="14">
        <v>0.4</v>
      </c>
      <c r="J56" s="3">
        <v>8250</v>
      </c>
      <c r="K56" s="3">
        <v>-0.54999999999999993</v>
      </c>
      <c r="L56" s="3">
        <v>-57.894736842105253</v>
      </c>
      <c r="M56" s="3">
        <v>17750</v>
      </c>
      <c r="N56" s="3">
        <v>0</v>
      </c>
      <c r="O56" s="3">
        <v>0</v>
      </c>
      <c r="P56" s="12">
        <v>0</v>
      </c>
      <c r="Q56" s="3">
        <v>0</v>
      </c>
      <c r="R56" s="3">
        <v>0</v>
      </c>
      <c r="S56" s="14">
        <v>1178.95</v>
      </c>
      <c r="T56" s="3">
        <v>0</v>
      </c>
      <c r="U56" s="3">
        <v>0</v>
      </c>
      <c r="AC56" s="3"/>
      <c r="AH56" s="3"/>
      <c r="AI56" s="3"/>
      <c r="AL56" s="3"/>
      <c r="AQ56" s="3"/>
    </row>
    <row r="57" spans="1:43" x14ac:dyDescent="0.3">
      <c r="A57" s="3">
        <v>13900</v>
      </c>
      <c r="B57" s="3" t="s">
        <v>35</v>
      </c>
      <c r="C57" s="5">
        <v>8300</v>
      </c>
      <c r="D57" s="3">
        <v>267</v>
      </c>
      <c r="E57" s="3">
        <v>-46</v>
      </c>
      <c r="F57" s="13">
        <v>-14.696485623003197</v>
      </c>
      <c r="G57" s="3">
        <v>46</v>
      </c>
      <c r="H57" s="3">
        <v>98</v>
      </c>
      <c r="I57" s="14">
        <v>2734.6</v>
      </c>
      <c r="J57" s="3">
        <v>9950</v>
      </c>
      <c r="K57" s="3">
        <v>149.34999999999991</v>
      </c>
      <c r="L57" s="3">
        <v>5.777004158205199</v>
      </c>
      <c r="M57" s="3">
        <v>13900</v>
      </c>
      <c r="N57" s="3">
        <v>1691</v>
      </c>
      <c r="O57" s="3">
        <v>115</v>
      </c>
      <c r="P57" s="12">
        <v>7.2969543147208125</v>
      </c>
      <c r="Q57" s="3">
        <v>1821</v>
      </c>
      <c r="R57" s="3">
        <v>84.91</v>
      </c>
      <c r="S57" s="14">
        <v>0.6</v>
      </c>
      <c r="T57" s="3">
        <v>-0.15000000000000002</v>
      </c>
      <c r="U57" s="3">
        <v>-20.000000000000004</v>
      </c>
      <c r="AC57" s="3"/>
      <c r="AH57" s="3"/>
      <c r="AI57" s="3"/>
      <c r="AL57" s="3"/>
      <c r="AQ57" s="3"/>
    </row>
    <row r="58" spans="1:43" x14ac:dyDescent="0.3">
      <c r="A58" s="3">
        <v>15200</v>
      </c>
      <c r="B58" s="3" t="s">
        <v>35</v>
      </c>
      <c r="C58" s="5"/>
      <c r="D58" s="3">
        <v>1249</v>
      </c>
      <c r="E58" s="3">
        <v>-65</v>
      </c>
      <c r="F58" s="13">
        <v>-4.9467275494672753</v>
      </c>
      <c r="G58" s="3">
        <v>257</v>
      </c>
      <c r="H58" s="3">
        <v>0</v>
      </c>
      <c r="I58" s="14">
        <v>1413.75</v>
      </c>
      <c r="K58" s="3">
        <v>118</v>
      </c>
      <c r="L58" s="3">
        <v>9.1066949643063886</v>
      </c>
      <c r="M58" s="3">
        <v>15200</v>
      </c>
      <c r="N58" s="3">
        <v>8138</v>
      </c>
      <c r="O58" s="3">
        <v>-2357</v>
      </c>
      <c r="P58" s="12">
        <v>-22.45831348261077</v>
      </c>
      <c r="Q58" s="3">
        <v>19358</v>
      </c>
      <c r="R58" s="3">
        <v>49.63</v>
      </c>
      <c r="S58" s="14">
        <v>1.35</v>
      </c>
      <c r="T58" s="3">
        <v>-0.29999999999999982</v>
      </c>
      <c r="U58" s="3">
        <v>-18.181818181818173</v>
      </c>
      <c r="AC58" s="3"/>
      <c r="AH58" s="3"/>
      <c r="AI58" s="3"/>
      <c r="AL58" s="3"/>
      <c r="AQ58" s="3"/>
    </row>
    <row r="59" spans="1:43" x14ac:dyDescent="0.3">
      <c r="A59" s="3">
        <v>16150</v>
      </c>
      <c r="B59" s="3" t="s">
        <v>35</v>
      </c>
      <c r="C59" s="5">
        <v>10050</v>
      </c>
      <c r="D59" s="3">
        <v>776</v>
      </c>
      <c r="E59" s="3">
        <v>-76</v>
      </c>
      <c r="F59" s="13">
        <v>-8.92018779342723</v>
      </c>
      <c r="G59" s="3">
        <v>345</v>
      </c>
      <c r="H59" s="3">
        <v>0</v>
      </c>
      <c r="I59" s="14">
        <v>469</v>
      </c>
      <c r="J59" s="3">
        <v>10550</v>
      </c>
      <c r="K59" s="3">
        <v>117.45</v>
      </c>
      <c r="L59" s="3">
        <v>33.409187882235805</v>
      </c>
      <c r="M59" s="3">
        <v>16150</v>
      </c>
      <c r="N59" s="3">
        <v>20547</v>
      </c>
      <c r="O59" s="3">
        <v>4004</v>
      </c>
      <c r="P59" s="12">
        <v>24.203590642567853</v>
      </c>
      <c r="Q59" s="3">
        <v>174809</v>
      </c>
      <c r="R59" s="3">
        <v>22.57</v>
      </c>
      <c r="S59" s="14">
        <v>4.25</v>
      </c>
      <c r="T59" s="3">
        <v>-4.9000000000000004</v>
      </c>
      <c r="U59" s="3">
        <v>-53.551912568306015</v>
      </c>
      <c r="AC59" s="3"/>
      <c r="AH59" s="3"/>
      <c r="AI59" s="3"/>
      <c r="AL59" s="3"/>
      <c r="AQ59" s="3"/>
    </row>
    <row r="60" spans="1:43" x14ac:dyDescent="0.3">
      <c r="A60" s="3">
        <v>15600</v>
      </c>
      <c r="B60" s="3" t="s">
        <v>35</v>
      </c>
      <c r="C60" s="5"/>
      <c r="D60" s="3">
        <v>2015</v>
      </c>
      <c r="E60" s="3">
        <v>-132</v>
      </c>
      <c r="F60" s="13">
        <v>-6.1481136469492315</v>
      </c>
      <c r="G60" s="3">
        <v>215</v>
      </c>
      <c r="H60" s="3">
        <v>0</v>
      </c>
      <c r="I60" s="14">
        <v>1011.7</v>
      </c>
      <c r="K60" s="3">
        <v>114.75</v>
      </c>
      <c r="L60" s="3">
        <v>12.793355259490491</v>
      </c>
      <c r="M60" s="3">
        <v>15600</v>
      </c>
      <c r="N60" s="3">
        <v>19558</v>
      </c>
      <c r="O60" s="3">
        <v>-3165</v>
      </c>
      <c r="P60" s="12">
        <v>-13.928618580293096</v>
      </c>
      <c r="Q60" s="3">
        <v>61834</v>
      </c>
      <c r="R60" s="3">
        <v>38.130000000000003</v>
      </c>
      <c r="S60" s="14">
        <v>1.8</v>
      </c>
      <c r="T60" s="3">
        <v>-0.24999999999999975</v>
      </c>
      <c r="U60" s="3">
        <v>-12.195121951219502</v>
      </c>
      <c r="AC60" s="3"/>
      <c r="AH60" s="3"/>
      <c r="AI60" s="3"/>
      <c r="AL60" s="3"/>
      <c r="AQ60" s="3"/>
    </row>
    <row r="61" spans="1:43" x14ac:dyDescent="0.3">
      <c r="A61" s="3">
        <v>14800</v>
      </c>
      <c r="B61" s="3" t="s">
        <v>35</v>
      </c>
      <c r="C61" s="5">
        <v>9750</v>
      </c>
      <c r="D61" s="3">
        <v>432</v>
      </c>
      <c r="E61" s="3">
        <v>-135</v>
      </c>
      <c r="F61" s="13">
        <v>-23.80952380952381</v>
      </c>
      <c r="G61" s="3">
        <v>149</v>
      </c>
      <c r="H61" s="3">
        <v>0</v>
      </c>
      <c r="I61" s="14">
        <v>1815</v>
      </c>
      <c r="J61" s="3">
        <v>8850</v>
      </c>
      <c r="K61" s="3">
        <v>125.79999999999995</v>
      </c>
      <c r="L61" s="3">
        <v>7.4473123372010397</v>
      </c>
      <c r="M61" s="3">
        <v>14800</v>
      </c>
      <c r="N61" s="3">
        <v>6113</v>
      </c>
      <c r="O61" s="3">
        <v>-1485</v>
      </c>
      <c r="P61" s="12">
        <v>-19.544617004474865</v>
      </c>
      <c r="Q61" s="3">
        <v>4366</v>
      </c>
      <c r="R61" s="3">
        <v>60.16</v>
      </c>
      <c r="S61" s="14">
        <v>0.95</v>
      </c>
      <c r="T61" s="3">
        <v>-0.19999999999999996</v>
      </c>
      <c r="U61" s="3">
        <v>-17.391304347826082</v>
      </c>
      <c r="AC61" s="3"/>
      <c r="AH61" s="3"/>
      <c r="AI61" s="3"/>
      <c r="AL61" s="3"/>
      <c r="AQ61" s="3"/>
    </row>
    <row r="62" spans="1:43" x14ac:dyDescent="0.3">
      <c r="A62" s="3">
        <v>17700</v>
      </c>
      <c r="B62" s="3" t="s">
        <v>35</v>
      </c>
      <c r="C62" s="5"/>
      <c r="D62" s="3">
        <v>5379</v>
      </c>
      <c r="E62" s="3">
        <v>-140</v>
      </c>
      <c r="F62" s="13">
        <v>-2.536691429606813</v>
      </c>
      <c r="G62" s="3">
        <v>6867</v>
      </c>
      <c r="H62" s="3">
        <v>31.67</v>
      </c>
      <c r="I62" s="14">
        <v>0.5</v>
      </c>
      <c r="K62" s="3">
        <v>-0.5</v>
      </c>
      <c r="L62" s="3">
        <v>-50</v>
      </c>
      <c r="M62" s="3">
        <v>17700</v>
      </c>
      <c r="N62" s="3">
        <v>18</v>
      </c>
      <c r="O62" s="3">
        <v>0</v>
      </c>
      <c r="P62" s="12">
        <v>0</v>
      </c>
      <c r="Q62" s="3">
        <v>1</v>
      </c>
      <c r="R62" s="3">
        <v>85.73</v>
      </c>
      <c r="S62" s="14">
        <v>1160</v>
      </c>
      <c r="T62" s="3">
        <v>-39.950000000000045</v>
      </c>
      <c r="U62" s="3">
        <v>-3.3293053877244918</v>
      </c>
      <c r="AC62" s="3"/>
      <c r="AH62" s="3"/>
      <c r="AI62" s="3"/>
      <c r="AL62" s="3"/>
      <c r="AQ62" s="3"/>
    </row>
    <row r="63" spans="1:43" x14ac:dyDescent="0.3">
      <c r="A63" s="3">
        <v>15850</v>
      </c>
      <c r="B63" s="3" t="s">
        <v>35</v>
      </c>
      <c r="C63" s="5"/>
      <c r="D63" s="3">
        <v>853</v>
      </c>
      <c r="E63" s="3">
        <v>-209</v>
      </c>
      <c r="F63" s="13">
        <v>-19.679849340866291</v>
      </c>
      <c r="G63" s="3">
        <v>399</v>
      </c>
      <c r="H63" s="3">
        <v>0</v>
      </c>
      <c r="I63" s="14">
        <v>762.55</v>
      </c>
      <c r="K63" s="3">
        <v>116.25</v>
      </c>
      <c r="L63" s="3">
        <v>17.987002939811234</v>
      </c>
      <c r="M63" s="3">
        <v>15850</v>
      </c>
      <c r="N63" s="3">
        <v>4884</v>
      </c>
      <c r="O63" s="3">
        <v>-407</v>
      </c>
      <c r="P63" s="12">
        <v>-7.6923076923076925</v>
      </c>
      <c r="Q63" s="3">
        <v>13732</v>
      </c>
      <c r="R63" s="3">
        <v>30.73</v>
      </c>
      <c r="S63" s="14">
        <v>2.25</v>
      </c>
      <c r="T63" s="3">
        <v>-0.60000000000000009</v>
      </c>
      <c r="U63" s="3">
        <v>-21.05263157894737</v>
      </c>
      <c r="AC63" s="3"/>
      <c r="AH63" s="3"/>
      <c r="AI63" s="3"/>
      <c r="AL63" s="3"/>
      <c r="AQ63" s="3"/>
    </row>
    <row r="64" spans="1:43" x14ac:dyDescent="0.3">
      <c r="A64" s="3">
        <v>17150</v>
      </c>
      <c r="B64" s="3" t="s">
        <v>35</v>
      </c>
      <c r="C64" s="5"/>
      <c r="D64" s="3">
        <v>2408</v>
      </c>
      <c r="E64" s="3">
        <v>-234</v>
      </c>
      <c r="F64" s="13">
        <v>-8.8569265707797129</v>
      </c>
      <c r="G64" s="3">
        <v>7373</v>
      </c>
      <c r="H64" s="3">
        <v>19.100000000000001</v>
      </c>
      <c r="I64" s="14">
        <v>1.3</v>
      </c>
      <c r="K64" s="3">
        <v>-0.39999999999999991</v>
      </c>
      <c r="L64" s="3">
        <v>-23.529411764705877</v>
      </c>
      <c r="M64" s="3">
        <v>17150</v>
      </c>
      <c r="N64" s="3">
        <v>12</v>
      </c>
      <c r="O64" s="3">
        <v>0</v>
      </c>
      <c r="P64" s="12">
        <v>0</v>
      </c>
      <c r="Q64" s="3">
        <v>0</v>
      </c>
      <c r="R64" s="3">
        <v>0</v>
      </c>
      <c r="S64" s="14">
        <v>641.20000000000005</v>
      </c>
      <c r="T64" s="3">
        <v>0</v>
      </c>
      <c r="U64" s="3">
        <v>0</v>
      </c>
      <c r="AC64" s="3"/>
      <c r="AH64" s="3"/>
      <c r="AI64" s="3"/>
      <c r="AL64" s="3"/>
      <c r="AQ64" s="3"/>
    </row>
    <row r="65" spans="1:43" x14ac:dyDescent="0.3">
      <c r="A65" s="3">
        <v>15500</v>
      </c>
      <c r="B65" s="3" t="s">
        <v>35</v>
      </c>
      <c r="C65" s="5"/>
      <c r="D65" s="3">
        <v>4737</v>
      </c>
      <c r="E65" s="3">
        <v>-237</v>
      </c>
      <c r="F65" s="13">
        <v>-4.7647768395657417</v>
      </c>
      <c r="G65" s="3">
        <v>1163</v>
      </c>
      <c r="H65" s="3">
        <v>0</v>
      </c>
      <c r="I65" s="14">
        <v>1114.3</v>
      </c>
      <c r="K65" s="3">
        <v>115.94999999999992</v>
      </c>
      <c r="L65" s="3">
        <v>11.614163369559767</v>
      </c>
      <c r="M65" s="3">
        <v>15500</v>
      </c>
      <c r="N65" s="3">
        <v>79240</v>
      </c>
      <c r="O65" s="3">
        <v>7918</v>
      </c>
      <c r="P65" s="12">
        <v>11.101763831636802</v>
      </c>
      <c r="Q65" s="3">
        <v>173562</v>
      </c>
      <c r="R65" s="3">
        <v>40.5</v>
      </c>
      <c r="S65" s="14">
        <v>1.5</v>
      </c>
      <c r="T65" s="3">
        <v>-0.35000000000000009</v>
      </c>
      <c r="U65" s="3">
        <v>-18.918918918918923</v>
      </c>
      <c r="AC65" s="3"/>
      <c r="AH65" s="3"/>
      <c r="AI65" s="3"/>
      <c r="AL65" s="3"/>
      <c r="AQ65" s="3"/>
    </row>
    <row r="66" spans="1:43" x14ac:dyDescent="0.3">
      <c r="A66" s="3">
        <v>15700</v>
      </c>
      <c r="B66" s="3" t="s">
        <v>35</v>
      </c>
      <c r="C66" s="5"/>
      <c r="D66" s="3">
        <v>3653</v>
      </c>
      <c r="E66" s="3">
        <v>-266</v>
      </c>
      <c r="F66" s="13">
        <v>-6.7874457769839243</v>
      </c>
      <c r="G66" s="3">
        <v>406</v>
      </c>
      <c r="H66" s="3">
        <v>0</v>
      </c>
      <c r="I66" s="14">
        <v>917.25</v>
      </c>
      <c r="K66" s="3">
        <v>126.45000000000005</v>
      </c>
      <c r="L66" s="3">
        <v>15.990136570561464</v>
      </c>
      <c r="M66" s="3">
        <v>15700</v>
      </c>
      <c r="N66" s="3">
        <v>24610</v>
      </c>
      <c r="O66" s="3">
        <v>-3665</v>
      </c>
      <c r="P66" s="12">
        <v>-12.961980548187444</v>
      </c>
      <c r="Q66" s="3">
        <v>93510</v>
      </c>
      <c r="R66" s="3">
        <v>35.06</v>
      </c>
      <c r="S66" s="14">
        <v>1.9</v>
      </c>
      <c r="T66" s="3">
        <v>-0.35000000000000009</v>
      </c>
      <c r="U66" s="3">
        <v>-15.555555555555561</v>
      </c>
      <c r="AC66" s="3"/>
      <c r="AH66" s="3"/>
      <c r="AI66" s="3"/>
      <c r="AL66" s="3"/>
      <c r="AQ66" s="3"/>
    </row>
    <row r="67" spans="1:43" x14ac:dyDescent="0.3">
      <c r="A67" s="3">
        <v>14000</v>
      </c>
      <c r="B67" s="3" t="s">
        <v>35</v>
      </c>
      <c r="C67" s="5">
        <v>10900</v>
      </c>
      <c r="D67" s="3">
        <v>15771</v>
      </c>
      <c r="E67" s="3">
        <v>-505</v>
      </c>
      <c r="F67" s="13">
        <v>-3.1027279429835342</v>
      </c>
      <c r="G67" s="3">
        <v>2278</v>
      </c>
      <c r="H67" s="3">
        <v>0</v>
      </c>
      <c r="I67" s="14">
        <v>2608</v>
      </c>
      <c r="J67" s="3">
        <v>11550</v>
      </c>
      <c r="K67" s="3">
        <v>118.34999999999992</v>
      </c>
      <c r="L67" s="3">
        <v>4.7536802361777726</v>
      </c>
      <c r="M67" s="3">
        <v>14000</v>
      </c>
      <c r="N67" s="3">
        <v>32246</v>
      </c>
      <c r="O67" s="3">
        <v>-3095</v>
      </c>
      <c r="P67" s="12">
        <v>-8.7575337426784756</v>
      </c>
      <c r="Q67" s="3">
        <v>19802</v>
      </c>
      <c r="R67" s="3">
        <v>78.84</v>
      </c>
      <c r="S67" s="14">
        <v>0.4</v>
      </c>
      <c r="T67" s="3">
        <v>-0.45</v>
      </c>
      <c r="U67" s="3">
        <v>-52.941176470588239</v>
      </c>
      <c r="AC67" s="3"/>
      <c r="AH67" s="3"/>
      <c r="AI67" s="3"/>
      <c r="AL67" s="3"/>
      <c r="AQ67" s="3"/>
    </row>
    <row r="68" spans="1:43" x14ac:dyDescent="0.3">
      <c r="A68" s="3">
        <v>16250</v>
      </c>
      <c r="B68" s="3" t="s">
        <v>35</v>
      </c>
      <c r="C68" s="5">
        <v>10450</v>
      </c>
      <c r="D68" s="3">
        <v>2248</v>
      </c>
      <c r="E68" s="3">
        <v>-544</v>
      </c>
      <c r="F68" s="13">
        <v>-19.484240687679083</v>
      </c>
      <c r="G68" s="3">
        <v>2264</v>
      </c>
      <c r="H68" s="3">
        <v>0</v>
      </c>
      <c r="I68" s="14">
        <v>370.95</v>
      </c>
      <c r="J68" s="3">
        <v>10000</v>
      </c>
      <c r="K68" s="3">
        <v>110</v>
      </c>
      <c r="L68" s="3">
        <v>42.1536692853037</v>
      </c>
      <c r="M68" s="3">
        <v>16250</v>
      </c>
      <c r="N68" s="3">
        <v>19349</v>
      </c>
      <c r="O68" s="3">
        <v>-2706</v>
      </c>
      <c r="P68" s="12">
        <v>-12.269326683291771</v>
      </c>
      <c r="Q68" s="3">
        <v>243574</v>
      </c>
      <c r="R68" s="3">
        <v>19.62</v>
      </c>
      <c r="S68" s="14">
        <v>5.45</v>
      </c>
      <c r="T68" s="3">
        <v>-11.55</v>
      </c>
      <c r="U68" s="3">
        <v>-67.941176470588232</v>
      </c>
      <c r="AC68" s="3"/>
      <c r="AH68" s="3"/>
      <c r="AI68" s="3"/>
      <c r="AL68" s="3"/>
      <c r="AQ68" s="3"/>
    </row>
    <row r="69" spans="1:43" x14ac:dyDescent="0.3">
      <c r="A69" s="3">
        <v>18000</v>
      </c>
      <c r="B69" s="3" t="s">
        <v>35</v>
      </c>
      <c r="C69" s="5"/>
      <c r="D69" s="3">
        <v>21446</v>
      </c>
      <c r="E69" s="3">
        <v>-569</v>
      </c>
      <c r="F69" s="13">
        <v>-2.58460140813082</v>
      </c>
      <c r="G69" s="3">
        <v>22068</v>
      </c>
      <c r="H69" s="3">
        <v>37.880000000000003</v>
      </c>
      <c r="I69" s="14">
        <v>0.35</v>
      </c>
      <c r="K69" s="3">
        <v>-0.30000000000000004</v>
      </c>
      <c r="L69" s="3">
        <v>-46.153846153846153</v>
      </c>
      <c r="M69" s="3">
        <v>18000</v>
      </c>
      <c r="N69" s="3">
        <v>130</v>
      </c>
      <c r="O69" s="3">
        <v>-81</v>
      </c>
      <c r="P69" s="12">
        <v>-38.388625592417064</v>
      </c>
      <c r="Q69" s="3">
        <v>130</v>
      </c>
      <c r="R69" s="3">
        <v>64.39</v>
      </c>
      <c r="S69" s="14">
        <v>1382.3</v>
      </c>
      <c r="T69" s="3">
        <v>-123.15000000000008</v>
      </c>
      <c r="U69" s="3">
        <v>-8.1802783220963882</v>
      </c>
      <c r="AC69" s="3"/>
      <c r="AH69" s="3"/>
      <c r="AI69" s="3"/>
      <c r="AL69" s="3"/>
      <c r="AQ69" s="3"/>
    </row>
    <row r="70" spans="1:43" x14ac:dyDescent="0.3">
      <c r="A70" s="3">
        <v>16350</v>
      </c>
      <c r="B70" s="3" t="s">
        <v>35</v>
      </c>
      <c r="C70" s="5"/>
      <c r="D70" s="3">
        <v>2552</v>
      </c>
      <c r="E70" s="3">
        <v>-716</v>
      </c>
      <c r="F70" s="13">
        <v>-21.909424724602204</v>
      </c>
      <c r="G70" s="3">
        <v>25146</v>
      </c>
      <c r="H70" s="3">
        <v>0</v>
      </c>
      <c r="I70" s="14">
        <v>272.64999999999998</v>
      </c>
      <c r="K70" s="3">
        <v>94.649999999999977</v>
      </c>
      <c r="L70" s="3">
        <v>53.17415730337077</v>
      </c>
      <c r="M70" s="3">
        <v>16350</v>
      </c>
      <c r="N70" s="3">
        <v>28197</v>
      </c>
      <c r="O70" s="3">
        <v>7429</v>
      </c>
      <c r="P70" s="12">
        <v>35.771379044684132</v>
      </c>
      <c r="Q70" s="3">
        <v>326705</v>
      </c>
      <c r="R70" s="3">
        <v>16.670000000000002</v>
      </c>
      <c r="S70" s="14">
        <v>7.55</v>
      </c>
      <c r="T70" s="3">
        <v>-23.85</v>
      </c>
      <c r="U70" s="3">
        <v>-75.955414012738856</v>
      </c>
      <c r="AC70" s="3"/>
      <c r="AH70" s="3"/>
      <c r="AI70" s="3"/>
      <c r="AL70" s="3"/>
      <c r="AQ70" s="3"/>
    </row>
    <row r="71" spans="1:43" x14ac:dyDescent="0.3">
      <c r="A71" s="3">
        <v>16100</v>
      </c>
      <c r="B71" s="3" t="s">
        <v>35</v>
      </c>
      <c r="C71" s="5">
        <v>11400</v>
      </c>
      <c r="D71" s="3">
        <v>6461</v>
      </c>
      <c r="E71" s="3">
        <v>-736</v>
      </c>
      <c r="F71" s="13">
        <v>-10.226483256912603</v>
      </c>
      <c r="G71" s="3">
        <v>2101</v>
      </c>
      <c r="H71" s="3">
        <v>0</v>
      </c>
      <c r="I71" s="14">
        <v>516.1</v>
      </c>
      <c r="J71" s="3">
        <v>8400</v>
      </c>
      <c r="K71" s="3">
        <v>115.05</v>
      </c>
      <c r="L71" s="3">
        <v>28.687196110210699</v>
      </c>
      <c r="M71" s="3">
        <v>16100</v>
      </c>
      <c r="N71" s="3">
        <v>47341</v>
      </c>
      <c r="O71" s="3">
        <v>-2626</v>
      </c>
      <c r="P71" s="12">
        <v>-5.2554686092821266</v>
      </c>
      <c r="Q71" s="3">
        <v>268210</v>
      </c>
      <c r="R71" s="3">
        <v>24.34</v>
      </c>
      <c r="S71" s="14">
        <v>4.0999999999999996</v>
      </c>
      <c r="T71" s="3">
        <v>-2.95</v>
      </c>
      <c r="U71" s="3">
        <v>-41.843971631205683</v>
      </c>
      <c r="AC71" s="3"/>
      <c r="AH71" s="3"/>
      <c r="AI71" s="3"/>
      <c r="AL71" s="3"/>
      <c r="AQ71" s="3"/>
    </row>
    <row r="72" spans="1:43" x14ac:dyDescent="0.3">
      <c r="A72" s="3">
        <v>15900</v>
      </c>
      <c r="B72" s="3" t="s">
        <v>35</v>
      </c>
      <c r="C72" s="5"/>
      <c r="D72" s="3">
        <v>7331</v>
      </c>
      <c r="E72" s="3">
        <v>-805</v>
      </c>
      <c r="F72" s="13">
        <v>-9.8942969518190758</v>
      </c>
      <c r="G72" s="3">
        <v>1673</v>
      </c>
      <c r="H72" s="3">
        <v>0</v>
      </c>
      <c r="I72" s="14">
        <v>721.05</v>
      </c>
      <c r="K72" s="3">
        <v>119.25</v>
      </c>
      <c r="L72" s="3">
        <v>19.81555333998006</v>
      </c>
      <c r="M72" s="3">
        <v>15900</v>
      </c>
      <c r="N72" s="3">
        <v>55395</v>
      </c>
      <c r="O72" s="3">
        <v>12062</v>
      </c>
      <c r="P72" s="12">
        <v>27.835598735374887</v>
      </c>
      <c r="Q72" s="3">
        <v>171420</v>
      </c>
      <c r="R72" s="3">
        <v>29.19</v>
      </c>
      <c r="S72" s="14">
        <v>2.35</v>
      </c>
      <c r="T72" s="3">
        <v>-0.69999999999999973</v>
      </c>
      <c r="U72" s="3">
        <v>-22.950819672131139</v>
      </c>
      <c r="AC72" s="3"/>
      <c r="AH72" s="3"/>
      <c r="AI72" s="3"/>
      <c r="AL72" s="3"/>
      <c r="AQ72" s="3"/>
    </row>
    <row r="73" spans="1:43" x14ac:dyDescent="0.3">
      <c r="A73" s="3">
        <v>15800</v>
      </c>
      <c r="B73" s="3" t="s">
        <v>35</v>
      </c>
      <c r="C73" s="5">
        <v>8750</v>
      </c>
      <c r="D73" s="3">
        <v>18442</v>
      </c>
      <c r="E73" s="3">
        <v>-870</v>
      </c>
      <c r="F73" s="13">
        <v>-4.504971002485501</v>
      </c>
      <c r="G73" s="3">
        <v>2405</v>
      </c>
      <c r="H73" s="3">
        <v>0</v>
      </c>
      <c r="I73" s="14">
        <v>816.35</v>
      </c>
      <c r="J73" s="3">
        <v>9200</v>
      </c>
      <c r="K73" s="3">
        <v>120.39999999999998</v>
      </c>
      <c r="L73" s="3">
        <v>17.300093397514186</v>
      </c>
      <c r="M73" s="3">
        <v>15800</v>
      </c>
      <c r="N73" s="3">
        <v>64856</v>
      </c>
      <c r="O73" s="3">
        <v>8109</v>
      </c>
      <c r="P73" s="12">
        <v>14.289742189014396</v>
      </c>
      <c r="Q73" s="3">
        <v>182250</v>
      </c>
      <c r="R73" s="3">
        <v>32.24</v>
      </c>
      <c r="S73" s="14">
        <v>2.15</v>
      </c>
      <c r="T73" s="3">
        <v>-0.35000000000000009</v>
      </c>
      <c r="U73" s="3">
        <v>-14.000000000000004</v>
      </c>
      <c r="AC73" s="3"/>
      <c r="AH73" s="3"/>
      <c r="AI73" s="3"/>
      <c r="AL73" s="3"/>
      <c r="AQ73" s="3"/>
    </row>
    <row r="74" spans="1:43" x14ac:dyDescent="0.3">
      <c r="A74" s="3">
        <v>16200</v>
      </c>
      <c r="B74" s="3" t="s">
        <v>35</v>
      </c>
      <c r="C74" s="5">
        <v>10400</v>
      </c>
      <c r="D74" s="3">
        <v>9546</v>
      </c>
      <c r="E74" s="3">
        <v>-1412</v>
      </c>
      <c r="F74" s="13">
        <v>-12.885563058952364</v>
      </c>
      <c r="G74" s="3">
        <v>11589</v>
      </c>
      <c r="H74" s="3">
        <v>0</v>
      </c>
      <c r="I74" s="14">
        <v>420</v>
      </c>
      <c r="J74" s="3">
        <v>8500</v>
      </c>
      <c r="K74" s="3">
        <v>113.2</v>
      </c>
      <c r="L74" s="3">
        <v>36.897001303780961</v>
      </c>
      <c r="M74" s="3">
        <v>16200</v>
      </c>
      <c r="N74" s="3">
        <v>73964</v>
      </c>
      <c r="O74" s="3">
        <v>6650</v>
      </c>
      <c r="P74" s="12">
        <v>9.8790741896188017</v>
      </c>
      <c r="Q74" s="3">
        <v>548374</v>
      </c>
      <c r="R74" s="3">
        <v>21.28</v>
      </c>
      <c r="S74" s="14">
        <v>5</v>
      </c>
      <c r="T74" s="3">
        <v>-7.3000000000000007</v>
      </c>
      <c r="U74" s="3">
        <v>-59.349593495934961</v>
      </c>
      <c r="AC74" s="3"/>
      <c r="AH74" s="3"/>
      <c r="AI74" s="3"/>
      <c r="AL74" s="3"/>
      <c r="AQ74" s="3"/>
    </row>
    <row r="75" spans="1:43" x14ac:dyDescent="0.3">
      <c r="A75" s="3">
        <v>16300</v>
      </c>
      <c r="B75" s="3" t="s">
        <v>35</v>
      </c>
      <c r="C75" s="5"/>
      <c r="D75" s="3">
        <v>16539</v>
      </c>
      <c r="E75" s="3">
        <v>-1649</v>
      </c>
      <c r="F75" s="13">
        <v>-9.0664174180778527</v>
      </c>
      <c r="G75" s="3">
        <v>40421</v>
      </c>
      <c r="H75" s="3">
        <v>0</v>
      </c>
      <c r="I75" s="14">
        <v>321.35000000000002</v>
      </c>
      <c r="K75" s="3">
        <v>102.25000000000004</v>
      </c>
      <c r="L75" s="3">
        <v>46.668188041989971</v>
      </c>
      <c r="M75" s="3">
        <v>16300</v>
      </c>
      <c r="N75" s="3">
        <v>76631</v>
      </c>
      <c r="O75" s="3">
        <v>5899</v>
      </c>
      <c r="P75" s="12">
        <v>8.3399310071820398</v>
      </c>
      <c r="Q75" s="3">
        <v>640658</v>
      </c>
      <c r="R75" s="3">
        <v>18.02</v>
      </c>
      <c r="S75" s="14">
        <v>6.15</v>
      </c>
      <c r="T75" s="3">
        <v>-17</v>
      </c>
      <c r="U75" s="3">
        <v>-73.434125269978395</v>
      </c>
      <c r="AC75" s="3"/>
      <c r="AH75" s="3"/>
      <c r="AI75" s="3"/>
      <c r="AL75" s="3"/>
      <c r="AQ75" s="3"/>
    </row>
    <row r="76" spans="1:43" x14ac:dyDescent="0.3">
      <c r="A76" s="3">
        <v>16000</v>
      </c>
      <c r="B76" s="3" t="s">
        <v>35</v>
      </c>
      <c r="C76" s="5">
        <v>7400</v>
      </c>
      <c r="D76" s="3">
        <v>22080</v>
      </c>
      <c r="E76" s="3">
        <v>-1663</v>
      </c>
      <c r="F76" s="13">
        <v>-7.0041696500021056</v>
      </c>
      <c r="G76" s="3">
        <v>4936</v>
      </c>
      <c r="H76" s="3">
        <v>0</v>
      </c>
      <c r="I76" s="14">
        <v>616</v>
      </c>
      <c r="J76" s="3">
        <v>10800</v>
      </c>
      <c r="K76" s="3">
        <v>114.45</v>
      </c>
      <c r="L76" s="3">
        <v>22.819260293091418</v>
      </c>
      <c r="M76" s="3">
        <v>16000</v>
      </c>
      <c r="N76" s="3">
        <v>90134</v>
      </c>
      <c r="O76" s="3">
        <v>1541</v>
      </c>
      <c r="P76" s="12">
        <v>1.7394150779406952</v>
      </c>
      <c r="Q76" s="3">
        <v>311030</v>
      </c>
      <c r="R76" s="3">
        <v>26.77</v>
      </c>
      <c r="S76" s="14">
        <v>3.05</v>
      </c>
      <c r="T76" s="3">
        <v>-1.4500000000000002</v>
      </c>
      <c r="U76" s="3">
        <v>-32.222222222222221</v>
      </c>
      <c r="AC76" s="3"/>
      <c r="AH76" s="3"/>
      <c r="AI76" s="3"/>
      <c r="AL76" s="3"/>
      <c r="AQ76" s="3"/>
    </row>
    <row r="77" spans="1:43" x14ac:dyDescent="0.3">
      <c r="A77" s="3">
        <v>17200</v>
      </c>
      <c r="B77" s="3" t="s">
        <v>35</v>
      </c>
      <c r="C77" s="5"/>
      <c r="D77" s="3">
        <v>30423</v>
      </c>
      <c r="E77" s="3">
        <v>-1735</v>
      </c>
      <c r="F77" s="13">
        <v>-5.3952360221406801</v>
      </c>
      <c r="G77" s="3">
        <v>61334</v>
      </c>
      <c r="H77" s="3">
        <v>20.309999999999999</v>
      </c>
      <c r="I77" s="14">
        <v>1.1499999999999999</v>
      </c>
      <c r="K77" s="3">
        <v>-0.45000000000000018</v>
      </c>
      <c r="L77" s="3">
        <v>-28.125000000000011</v>
      </c>
      <c r="M77" s="3">
        <v>17200</v>
      </c>
      <c r="N77" s="3">
        <v>179</v>
      </c>
      <c r="O77" s="3">
        <v>-86</v>
      </c>
      <c r="P77" s="12">
        <v>-32.452830188679243</v>
      </c>
      <c r="Q77" s="3">
        <v>130</v>
      </c>
      <c r="R77" s="3">
        <v>33.29</v>
      </c>
      <c r="S77" s="14">
        <v>582.70000000000005</v>
      </c>
      <c r="T77" s="3">
        <v>-126</v>
      </c>
      <c r="U77" s="3">
        <v>-17.779032030478341</v>
      </c>
      <c r="AC77" s="3"/>
      <c r="AH77" s="3"/>
      <c r="AI77" s="3"/>
      <c r="AL77" s="3"/>
      <c r="AQ77" s="3"/>
    </row>
    <row r="78" spans="1:43" x14ac:dyDescent="0.3">
      <c r="A78" s="3">
        <v>17600</v>
      </c>
      <c r="B78" s="3" t="s">
        <v>35</v>
      </c>
      <c r="C78" s="5">
        <v>9100</v>
      </c>
      <c r="D78" s="3">
        <v>4969</v>
      </c>
      <c r="E78" s="3">
        <v>-1879</v>
      </c>
      <c r="F78" s="13">
        <v>-27.438668224299064</v>
      </c>
      <c r="G78" s="3">
        <v>12462</v>
      </c>
      <c r="H78" s="3">
        <v>29.66</v>
      </c>
      <c r="I78" s="14">
        <v>0.6</v>
      </c>
      <c r="J78" s="3">
        <v>10150</v>
      </c>
      <c r="K78" s="3">
        <v>-0.6</v>
      </c>
      <c r="L78" s="3">
        <v>-50</v>
      </c>
      <c r="M78" s="3">
        <v>17600</v>
      </c>
      <c r="N78" s="3">
        <v>2</v>
      </c>
      <c r="O78" s="3">
        <v>0</v>
      </c>
      <c r="P78" s="12">
        <v>0</v>
      </c>
      <c r="Q78" s="3">
        <v>0</v>
      </c>
      <c r="R78" s="3">
        <v>0</v>
      </c>
      <c r="S78" s="14">
        <v>1124.9000000000001</v>
      </c>
      <c r="T78" s="3">
        <v>0</v>
      </c>
      <c r="U78" s="3">
        <v>0</v>
      </c>
      <c r="AC78" s="3"/>
      <c r="AH78" s="3"/>
      <c r="AI78" s="3"/>
      <c r="AL78" s="3"/>
      <c r="AQ78" s="3"/>
    </row>
    <row r="79" spans="1:43" x14ac:dyDescent="0.3">
      <c r="A79" s="3">
        <v>17400</v>
      </c>
      <c r="B79" s="3" t="s">
        <v>35</v>
      </c>
      <c r="C79" s="5"/>
      <c r="D79" s="3">
        <v>13668</v>
      </c>
      <c r="E79" s="3">
        <v>-2284</v>
      </c>
      <c r="F79" s="13">
        <v>-14.317953861584757</v>
      </c>
      <c r="G79" s="3">
        <v>23492</v>
      </c>
      <c r="H79" s="3">
        <v>24.91</v>
      </c>
      <c r="I79" s="14">
        <v>0.75</v>
      </c>
      <c r="K79" s="3">
        <v>-0.64999999999999991</v>
      </c>
      <c r="L79" s="3">
        <v>-46.428571428571423</v>
      </c>
      <c r="M79" s="3">
        <v>17400</v>
      </c>
      <c r="N79" s="3">
        <v>390</v>
      </c>
      <c r="O79" s="3">
        <v>-4</v>
      </c>
      <c r="P79" s="12">
        <v>-1.015228426395939</v>
      </c>
      <c r="Q79" s="3">
        <v>14</v>
      </c>
      <c r="R79" s="3">
        <v>30.54</v>
      </c>
      <c r="S79" s="14">
        <v>769.2</v>
      </c>
      <c r="T79" s="3">
        <v>-137.75</v>
      </c>
      <c r="U79" s="3">
        <v>-15.188268372016095</v>
      </c>
      <c r="AC79" s="3"/>
      <c r="AH79" s="3"/>
      <c r="AI79" s="3"/>
      <c r="AL79" s="3"/>
      <c r="AQ79" s="3"/>
    </row>
    <row r="80" spans="1:43" x14ac:dyDescent="0.3">
      <c r="A80" s="3">
        <v>17300</v>
      </c>
      <c r="B80" s="3" t="s">
        <v>35</v>
      </c>
      <c r="C80" s="5"/>
      <c r="D80" s="3">
        <v>18919</v>
      </c>
      <c r="E80" s="3">
        <v>-2313</v>
      </c>
      <c r="F80" s="13">
        <v>-10.893933685003768</v>
      </c>
      <c r="G80" s="3">
        <v>30490</v>
      </c>
      <c r="H80" s="3">
        <v>23.18</v>
      </c>
      <c r="I80" s="14">
        <v>1.1000000000000001</v>
      </c>
      <c r="K80" s="3">
        <v>-0.34999999999999987</v>
      </c>
      <c r="L80" s="3">
        <v>-24.137931034482751</v>
      </c>
      <c r="M80" s="3">
        <v>17300</v>
      </c>
      <c r="N80" s="3">
        <v>310</v>
      </c>
      <c r="O80" s="3">
        <v>-30</v>
      </c>
      <c r="P80" s="12">
        <v>-8.8235294117647065</v>
      </c>
      <c r="Q80" s="3">
        <v>63</v>
      </c>
      <c r="R80" s="3">
        <v>41.16</v>
      </c>
      <c r="S80" s="14">
        <v>690</v>
      </c>
      <c r="T80" s="3">
        <v>-120.04999999999995</v>
      </c>
      <c r="U80" s="3">
        <v>-14.820072835010178</v>
      </c>
      <c r="AC80" s="3"/>
      <c r="AH80" s="3"/>
      <c r="AI80" s="3"/>
      <c r="AL80" s="3"/>
      <c r="AQ80" s="3"/>
    </row>
    <row r="81" spans="1:43" x14ac:dyDescent="0.3">
      <c r="A81" s="3">
        <v>16700</v>
      </c>
      <c r="B81" s="3" t="s">
        <v>35</v>
      </c>
      <c r="C81" s="5"/>
      <c r="D81" s="3">
        <v>93307</v>
      </c>
      <c r="E81" s="3">
        <v>-3227</v>
      </c>
      <c r="F81" s="13">
        <v>-3.3428636542565315</v>
      </c>
      <c r="G81" s="3">
        <v>1211481</v>
      </c>
      <c r="H81" s="3">
        <v>9.2899999999999991</v>
      </c>
      <c r="I81" s="14">
        <v>20</v>
      </c>
      <c r="K81" s="3">
        <v>7</v>
      </c>
      <c r="L81" s="3">
        <v>53.846153846153847</v>
      </c>
      <c r="M81" s="3">
        <v>16700</v>
      </c>
      <c r="N81" s="3">
        <v>24111</v>
      </c>
      <c r="O81" s="3">
        <v>6022</v>
      </c>
      <c r="P81" s="12">
        <v>33.290950301288078</v>
      </c>
      <c r="Q81" s="3">
        <v>228850</v>
      </c>
      <c r="R81" s="3">
        <v>13.34</v>
      </c>
      <c r="S81" s="14">
        <v>104</v>
      </c>
      <c r="T81" s="3">
        <v>-110.6</v>
      </c>
      <c r="U81" s="3">
        <v>-51.537744641192909</v>
      </c>
      <c r="AC81" s="3"/>
      <c r="AH81" s="3"/>
      <c r="AI81" s="3"/>
      <c r="AL81" s="3"/>
      <c r="AQ81" s="3"/>
    </row>
    <row r="82" spans="1:43" x14ac:dyDescent="0.3">
      <c r="A82" s="3">
        <v>16450</v>
      </c>
      <c r="B82" s="3" t="s">
        <v>35</v>
      </c>
      <c r="C82" s="5"/>
      <c r="D82" s="3">
        <v>7102</v>
      </c>
      <c r="E82" s="3">
        <v>-8964</v>
      </c>
      <c r="F82" s="13">
        <v>-55.794846259180879</v>
      </c>
      <c r="G82" s="3">
        <v>149539</v>
      </c>
      <c r="H82" s="3">
        <v>0</v>
      </c>
      <c r="I82" s="14">
        <v>179</v>
      </c>
      <c r="K82" s="3">
        <v>74.45</v>
      </c>
      <c r="L82" s="3">
        <v>71.209947393591591</v>
      </c>
      <c r="M82" s="3">
        <v>16450</v>
      </c>
      <c r="N82" s="3">
        <v>40324</v>
      </c>
      <c r="O82" s="3">
        <v>17990</v>
      </c>
      <c r="P82" s="12">
        <v>80.54983433330348</v>
      </c>
      <c r="Q82" s="3">
        <v>514022</v>
      </c>
      <c r="R82" s="3">
        <v>14.33</v>
      </c>
      <c r="S82" s="14">
        <v>13.35</v>
      </c>
      <c r="T82" s="3">
        <v>-45.35</v>
      </c>
      <c r="U82" s="3">
        <v>-77.257240204429294</v>
      </c>
      <c r="AC82" s="3"/>
      <c r="AH82" s="3"/>
      <c r="AI82" s="3"/>
      <c r="AL82" s="3"/>
      <c r="AQ82" s="3"/>
    </row>
    <row r="83" spans="1:43" x14ac:dyDescent="0.3">
      <c r="A83" s="3">
        <v>17100</v>
      </c>
      <c r="B83" s="3" t="s">
        <v>35</v>
      </c>
      <c r="C83" s="5"/>
      <c r="D83" s="3">
        <v>35424</v>
      </c>
      <c r="E83" s="3">
        <v>-9971</v>
      </c>
      <c r="F83" s="13">
        <v>-21.96497411609208</v>
      </c>
      <c r="G83" s="3">
        <v>117998</v>
      </c>
      <c r="H83" s="3">
        <v>17.989999999999998</v>
      </c>
      <c r="I83" s="14">
        <v>1.55</v>
      </c>
      <c r="K83" s="3">
        <v>-0.25</v>
      </c>
      <c r="L83" s="3">
        <v>-13.888888888888889</v>
      </c>
      <c r="M83" s="3">
        <v>17100</v>
      </c>
      <c r="N83" s="3">
        <v>190</v>
      </c>
      <c r="O83" s="3">
        <v>2</v>
      </c>
      <c r="P83" s="12">
        <v>1.0638297872340423</v>
      </c>
      <c r="Q83" s="3">
        <v>107</v>
      </c>
      <c r="R83" s="3">
        <v>30.36</v>
      </c>
      <c r="S83" s="14">
        <v>486</v>
      </c>
      <c r="T83" s="3">
        <v>-123.25</v>
      </c>
      <c r="U83" s="3">
        <v>-20.229790726302831</v>
      </c>
      <c r="AC83" s="3"/>
      <c r="AH83" s="3"/>
      <c r="AI83" s="3"/>
      <c r="AL83" s="3"/>
      <c r="AQ83" s="3"/>
    </row>
    <row r="84" spans="1:43" x14ac:dyDescent="0.3">
      <c r="A84" s="3">
        <v>16400</v>
      </c>
      <c r="B84" s="3" t="s">
        <v>35</v>
      </c>
      <c r="C84" s="5"/>
      <c r="D84" s="3">
        <v>16887</v>
      </c>
      <c r="E84" s="3">
        <v>-11965</v>
      </c>
      <c r="F84" s="13">
        <v>-41.470262026895881</v>
      </c>
      <c r="G84" s="3">
        <v>198496</v>
      </c>
      <c r="H84" s="3">
        <v>0</v>
      </c>
      <c r="I84" s="14">
        <v>224</v>
      </c>
      <c r="K84" s="3">
        <v>85.449999999999989</v>
      </c>
      <c r="L84" s="3">
        <v>61.67448574521832</v>
      </c>
      <c r="M84" s="3">
        <v>16400</v>
      </c>
      <c r="N84" s="3">
        <v>87738</v>
      </c>
      <c r="O84" s="3">
        <v>11138</v>
      </c>
      <c r="P84" s="12">
        <v>14.540469973890341</v>
      </c>
      <c r="Q84" s="3">
        <v>845389</v>
      </c>
      <c r="R84" s="3">
        <v>15.38</v>
      </c>
      <c r="S84" s="14">
        <v>9.65</v>
      </c>
      <c r="T84" s="3">
        <v>-33.85</v>
      </c>
      <c r="U84" s="3">
        <v>-77.816091954022994</v>
      </c>
      <c r="AC84" s="3"/>
      <c r="AH84" s="3"/>
      <c r="AI84" s="3"/>
      <c r="AL84" s="3"/>
      <c r="AQ84" s="3"/>
    </row>
    <row r="85" spans="1:43" x14ac:dyDescent="0.3">
      <c r="A85" s="3">
        <v>17500</v>
      </c>
      <c r="B85" s="3" t="s">
        <v>35</v>
      </c>
      <c r="C85" s="5">
        <v>9200</v>
      </c>
      <c r="D85" s="3">
        <v>45520</v>
      </c>
      <c r="E85" s="3">
        <v>-13919</v>
      </c>
      <c r="F85" s="13">
        <v>-23.41728494759333</v>
      </c>
      <c r="G85" s="3">
        <v>89199</v>
      </c>
      <c r="H85" s="3">
        <v>26.99</v>
      </c>
      <c r="I85" s="14">
        <v>0.6</v>
      </c>
      <c r="J85" s="3">
        <v>7950</v>
      </c>
      <c r="K85" s="3">
        <v>-0.70000000000000007</v>
      </c>
      <c r="L85" s="3">
        <v>-53.846153846153854</v>
      </c>
      <c r="M85" s="3">
        <v>17500</v>
      </c>
      <c r="N85" s="3">
        <v>540</v>
      </c>
      <c r="O85" s="3">
        <v>-184</v>
      </c>
      <c r="P85" s="12">
        <v>-25.414364640883974</v>
      </c>
      <c r="Q85" s="3">
        <v>316</v>
      </c>
      <c r="R85" s="3">
        <v>51.01</v>
      </c>
      <c r="S85" s="14">
        <v>892.45</v>
      </c>
      <c r="T85" s="3">
        <v>-108.54999999999995</v>
      </c>
      <c r="U85" s="3">
        <v>-10.844155844155839</v>
      </c>
      <c r="AC85" s="3"/>
      <c r="AH85" s="3"/>
      <c r="AI85" s="3"/>
      <c r="AL85" s="3"/>
      <c r="AQ85" s="3"/>
    </row>
    <row r="86" spans="1:43" x14ac:dyDescent="0.3">
      <c r="A86" s="3">
        <v>16550</v>
      </c>
      <c r="B86" s="3" t="s">
        <v>35</v>
      </c>
      <c r="C86" s="5"/>
      <c r="D86" s="3">
        <v>16272</v>
      </c>
      <c r="E86" s="3">
        <v>-27194</v>
      </c>
      <c r="F86" s="13">
        <v>-62.563843003727051</v>
      </c>
      <c r="G86" s="3">
        <v>935550</v>
      </c>
      <c r="H86" s="3">
        <v>8.86</v>
      </c>
      <c r="I86" s="14">
        <v>97.45</v>
      </c>
      <c r="K86" s="3">
        <v>45.6</v>
      </c>
      <c r="L86" s="3">
        <v>87.945998071359682</v>
      </c>
      <c r="M86" s="3">
        <v>16550</v>
      </c>
      <c r="N86" s="3">
        <v>40126</v>
      </c>
      <c r="O86" s="3">
        <v>27666</v>
      </c>
      <c r="P86" s="12">
        <v>222.03852327447831</v>
      </c>
      <c r="Q86" s="3">
        <v>713480</v>
      </c>
      <c r="R86" s="3">
        <v>13.1</v>
      </c>
      <c r="S86" s="14">
        <v>30.8</v>
      </c>
      <c r="T86" s="3">
        <v>-74.5</v>
      </c>
      <c r="U86" s="3">
        <v>-70.750237416904085</v>
      </c>
      <c r="AC86" s="3"/>
      <c r="AH86" s="3"/>
      <c r="AI86" s="3"/>
      <c r="AL86" s="3"/>
      <c r="AQ86" s="3"/>
    </row>
    <row r="87" spans="1:43" x14ac:dyDescent="0.3">
      <c r="A87" s="3">
        <v>16600</v>
      </c>
      <c r="B87" s="3" t="s">
        <v>35</v>
      </c>
      <c r="C87" s="5"/>
      <c r="D87" s="3">
        <v>76164</v>
      </c>
      <c r="E87" s="3">
        <v>-33826</v>
      </c>
      <c r="F87" s="13">
        <v>-30.753704882262024</v>
      </c>
      <c r="G87" s="3">
        <v>1920034</v>
      </c>
      <c r="H87" s="3">
        <v>9</v>
      </c>
      <c r="I87" s="14">
        <v>63</v>
      </c>
      <c r="K87" s="3">
        <v>29.15</v>
      </c>
      <c r="L87" s="3">
        <v>86.115214180206792</v>
      </c>
      <c r="M87" s="3">
        <v>16600</v>
      </c>
      <c r="N87" s="3">
        <v>71232</v>
      </c>
      <c r="O87" s="3">
        <v>51911</v>
      </c>
      <c r="P87" s="12">
        <v>268.67656953573834</v>
      </c>
      <c r="Q87" s="3">
        <v>999539</v>
      </c>
      <c r="R87" s="3">
        <v>12.77</v>
      </c>
      <c r="S87" s="14">
        <v>47.2</v>
      </c>
      <c r="T87" s="3">
        <v>-90.9</v>
      </c>
      <c r="U87" s="3">
        <v>-65.821868211440986</v>
      </c>
      <c r="AC87" s="3"/>
      <c r="AH87" s="3"/>
      <c r="AI87" s="3"/>
      <c r="AL87" s="3"/>
      <c r="AQ87" s="3"/>
    </row>
    <row r="88" spans="1:43" x14ac:dyDescent="0.3">
      <c r="A88" s="3">
        <v>16500</v>
      </c>
      <c r="B88" s="3" t="s">
        <v>35</v>
      </c>
      <c r="C88" s="5"/>
      <c r="D88" s="3">
        <v>62825</v>
      </c>
      <c r="E88" s="3">
        <v>-43196</v>
      </c>
      <c r="F88" s="13">
        <v>-40.742871695230193</v>
      </c>
      <c r="G88" s="3">
        <v>1170554</v>
      </c>
      <c r="H88" s="3">
        <v>7.66</v>
      </c>
      <c r="I88" s="14">
        <v>136.9</v>
      </c>
      <c r="K88" s="3">
        <v>61.600000000000009</v>
      </c>
      <c r="L88" s="3">
        <v>81.806108897742376</v>
      </c>
      <c r="M88" s="3">
        <v>16500</v>
      </c>
      <c r="N88" s="3">
        <v>136659</v>
      </c>
      <c r="O88" s="3">
        <v>48432</v>
      </c>
      <c r="P88" s="12">
        <v>54.894760107450104</v>
      </c>
      <c r="Q88" s="3">
        <v>1507351</v>
      </c>
      <c r="R88" s="3">
        <v>13.69</v>
      </c>
      <c r="S88" s="14">
        <v>20.3</v>
      </c>
      <c r="T88" s="3">
        <v>-59.100000000000009</v>
      </c>
      <c r="U88" s="3">
        <v>-74.433249370277082</v>
      </c>
      <c r="AC88" s="3"/>
      <c r="AH88" s="3"/>
      <c r="AI88" s="3"/>
      <c r="AL88" s="3"/>
      <c r="AQ88" s="3"/>
    </row>
    <row r="89" spans="1:43" x14ac:dyDescent="0.3">
      <c r="AC89" s="3"/>
      <c r="AH89" s="3"/>
      <c r="AI89" s="3"/>
      <c r="AL89" s="3"/>
      <c r="AQ89" s="3"/>
    </row>
    <row r="90" spans="1:43" x14ac:dyDescent="0.3">
      <c r="AC90" s="3"/>
      <c r="AH90" s="3"/>
      <c r="AI90" s="3"/>
      <c r="AL90" s="3"/>
      <c r="AQ90" s="3"/>
    </row>
  </sheetData>
  <phoneticPr fontId="1" type="noConversion"/>
  <conditionalFormatting sqref="AA91:AA1048576 AA1 AJ1 AJ91:AJ1048576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{408B3604-2CAD-433B-9E1F-152ACED17D02}</x14:id>
        </ext>
      </extLst>
    </cfRule>
  </conditionalFormatting>
  <conditionalFormatting sqref="AP1 AP91:AP1048576 AG1 AG91:AG1048576">
    <cfRule type="cellIs" dxfId="23" priority="14" operator="lessThan">
      <formula>0</formula>
    </cfRule>
  </conditionalFormatting>
  <conditionalFormatting sqref="AN1 V4 AN91:AN1048576 AE1 AE91:AE1048576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{3B5546AD-B804-4A9F-A637-E9D45CE4530E}</x14:id>
        </ext>
      </extLst>
    </cfRule>
  </conditionalFormatting>
  <conditionalFormatting sqref="AB91:AB1048576 AB1 AK1 AK91:AK1048576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{8D1CAAD7-5CBD-4239-9A23-561CCF57AFFB}</x14:id>
        </ext>
      </extLst>
    </cfRule>
  </conditionalFormatting>
  <conditionalFormatting sqref="AL1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{18AD76D5-E72F-46F7-B03F-2AFFC8314A6C}</x14:id>
        </ext>
      </extLst>
    </cfRule>
  </conditionalFormatting>
  <conditionalFormatting sqref="N1:N1048576 D1:D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{F8419FEE-B656-4DC5-B175-D31EB8F977E9}</x14:id>
        </ext>
      </extLst>
    </cfRule>
  </conditionalFormatting>
  <conditionalFormatting sqref="D1:E1 N1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{99718EE7-F1AA-45D3-8CC4-6F0DC731A0D2}</x14:id>
        </ext>
      </extLst>
    </cfRule>
  </conditionalFormatting>
  <conditionalFormatting sqref="O1:P1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{90F403F9-DB7D-43F5-9C72-1C1588E54CC1}</x14:id>
        </ext>
      </extLst>
    </cfRule>
  </conditionalFormatting>
  <conditionalFormatting sqref="L1 S1 K1:K1048576 T1:T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 P1 E1:E1048576 O1:O1048576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{19ADF8B0-9559-401B-B9AC-ED3A5C83E46B}</x14:id>
        </ext>
      </extLst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8B3604-2CAD-433B-9E1F-152ACED17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AA91:AA1048576 AA1 AJ1 AJ91:AJ1048576</xm:sqref>
        </x14:conditionalFormatting>
        <x14:conditionalFormatting xmlns:xm="http://schemas.microsoft.com/office/excel/2006/main">
          <x14:cfRule type="dataBar" id="{3B5546AD-B804-4A9F-A637-E9D45CE453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</xm:sqref>
        </x14:conditionalFormatting>
        <x14:conditionalFormatting xmlns:xm="http://schemas.microsoft.com/office/excel/2006/main">
          <x14:cfRule type="dataBar" id="{8D1CAAD7-5CBD-4239-9A23-561CCF57AF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AB91:AB1048576 AB1 AK1 AK91:AK1048576</xm:sqref>
        </x14:conditionalFormatting>
        <x14:conditionalFormatting xmlns:xm="http://schemas.microsoft.com/office/excel/2006/main">
          <x14:cfRule type="dataBar" id="{18AD76D5-E72F-46F7-B03F-2AFFC8314A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AL1</xm:sqref>
        </x14:conditionalFormatting>
        <x14:conditionalFormatting xmlns:xm="http://schemas.microsoft.com/office/excel/2006/main">
          <x14:cfRule type="dataBar" id="{F8419FEE-B656-4DC5-B175-D31EB8F977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N1:N1048576 D1:D1048576</xm:sqref>
        </x14:conditionalFormatting>
        <x14:conditionalFormatting xmlns:xm="http://schemas.microsoft.com/office/excel/2006/main">
          <x14:cfRule type="dataBar" id="{99718EE7-F1AA-45D3-8CC4-6F0DC731A0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D1:E1 N1</xm:sqref>
        </x14:conditionalFormatting>
        <x14:conditionalFormatting xmlns:xm="http://schemas.microsoft.com/office/excel/2006/main">
          <x14:cfRule type="dataBar" id="{90F403F9-DB7D-43F5-9C72-1C1588E54C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O1:P1</xm:sqref>
        </x14:conditionalFormatting>
        <x14:conditionalFormatting xmlns:xm="http://schemas.microsoft.com/office/excel/2006/main">
          <x14:cfRule type="dataBar" id="{19ADF8B0-9559-401B-B9AC-ED3A5C83E4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 P1 E1:E1048576 O1:O1048576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0527A-4435-4CB6-A7B5-6A2838BB1555}">
  <dimension ref="A1:B9"/>
  <sheetViews>
    <sheetView workbookViewId="0">
      <selection activeCell="B6" sqref="B6"/>
    </sheetView>
  </sheetViews>
  <sheetFormatPr defaultRowHeight="14.4" x14ac:dyDescent="0.3"/>
  <cols>
    <col min="1" max="1" width="19.109375" bestFit="1" customWidth="1"/>
    <col min="2" max="2" width="22.88671875" bestFit="1" customWidth="1"/>
  </cols>
  <sheetData>
    <row r="1" spans="1:2" x14ac:dyDescent="0.3">
      <c r="A1" s="19" t="s">
        <v>23</v>
      </c>
      <c r="B1" s="19" t="s">
        <v>24</v>
      </c>
    </row>
    <row r="2" spans="1:2" x14ac:dyDescent="0.3">
      <c r="A2" s="13" t="s">
        <v>25</v>
      </c>
      <c r="B2" s="3" t="s">
        <v>33</v>
      </c>
    </row>
    <row r="3" spans="1:2" x14ac:dyDescent="0.3">
      <c r="A3" s="13" t="s">
        <v>26</v>
      </c>
      <c r="B3" s="3" t="s">
        <v>36</v>
      </c>
    </row>
    <row r="4" spans="1:2" x14ac:dyDescent="0.3">
      <c r="A4" s="13" t="s">
        <v>27</v>
      </c>
      <c r="B4" s="3" t="s">
        <v>37</v>
      </c>
    </row>
    <row r="5" spans="1:2" x14ac:dyDescent="0.3">
      <c r="A5" s="13" t="s">
        <v>28</v>
      </c>
      <c r="B5" s="3" t="s">
        <v>34</v>
      </c>
    </row>
    <row r="6" spans="1:2" x14ac:dyDescent="0.3">
      <c r="A6" s="13" t="s">
        <v>29</v>
      </c>
      <c r="B6" s="3">
        <v>16624.599999999999</v>
      </c>
    </row>
    <row r="7" spans="1:2" x14ac:dyDescent="0.3">
      <c r="A7" s="13" t="s">
        <v>30</v>
      </c>
      <c r="B7" s="3">
        <v>128.14999999999782</v>
      </c>
    </row>
    <row r="8" spans="1:2" x14ac:dyDescent="0.3">
      <c r="A8" s="13" t="s">
        <v>31</v>
      </c>
      <c r="B8" s="3">
        <v>0.78</v>
      </c>
    </row>
    <row r="9" spans="1:2" x14ac:dyDescent="0.3">
      <c r="A9" s="13" t="s">
        <v>32</v>
      </c>
      <c r="B9" s="3" t="s">
        <v>38</v>
      </c>
    </row>
  </sheetData>
  <conditionalFormatting sqref="B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60FA190-2BD9-4677-90C5-2031612762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 sahani</dc:creator>
  <cp:lastModifiedBy>sangram sahani</cp:lastModifiedBy>
  <dcterms:created xsi:type="dcterms:W3CDTF">2020-06-06T11:00:13Z</dcterms:created>
  <dcterms:modified xsi:type="dcterms:W3CDTF">2021-08-24T18:48:14Z</dcterms:modified>
</cp:coreProperties>
</file>